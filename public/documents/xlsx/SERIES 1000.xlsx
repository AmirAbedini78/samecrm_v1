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RDEX BELZONA\"/>
    </mc:Choice>
  </mc:AlternateContent>
  <xr:revisionPtr revIDLastSave="0" documentId="13_ncr:1_{06C195E3-640B-462A-94BC-727AED48D4E6}" xr6:coauthVersionLast="47" xr6:coauthVersionMax="47" xr10:uidLastSave="{00000000-0000-0000-0000-000000000000}"/>
  <bookViews>
    <workbookView xWindow="-108" yWindow="-108" windowWidth="23256" windowHeight="12576" firstSheet="30" activeTab="36" xr2:uid="{00000000-000D-0000-FFFF-FFFF00000000}"/>
  </bookViews>
  <sheets>
    <sheet name="1111 (1Kg)" sheetId="1" r:id="rId1"/>
    <sheet name="1111 (2Kg)" sheetId="2" r:id="rId2"/>
    <sheet name="1111 (400 Gr)" sheetId="3" r:id="rId3"/>
    <sheet name="1111 (5 kg)" sheetId="34" r:id="rId4"/>
    <sheet name="1121 (1Kg)" sheetId="4" r:id="rId5"/>
    <sheet name="1131 (1Kg)" sheetId="5" r:id="rId6"/>
    <sheet name="1141 (1.5 Kg)" sheetId="6" r:id="rId7"/>
    <sheet name="1161 (1 kg)" sheetId="35" r:id="rId8"/>
    <sheet name="1211 (500 Gr)" sheetId="7" r:id="rId9"/>
    <sheet name="1221 (125 Gr)" sheetId="8" r:id="rId10"/>
    <sheet name="1251 (750 Gr)" sheetId="9" r:id="rId11"/>
    <sheet name="1291 (140 Gr)" sheetId="10" r:id="rId12"/>
    <sheet name="1311 (2 kg)" sheetId="11" r:id="rId13"/>
    <sheet name="1321 (1kg)" sheetId="12" r:id="rId14"/>
    <sheet name="1321 (3 kg)" sheetId="13" r:id="rId15"/>
    <sheet name="1341 (500 gr)" sheetId="14" r:id="rId16"/>
    <sheet name="1341 N (750 Gr)" sheetId="15" r:id="rId17"/>
    <sheet name="1341 (5 Kg)" sheetId="16" r:id="rId18"/>
    <sheet name="1391 (1 Kg)" sheetId="17" r:id="rId19"/>
    <sheet name="1391 (3 Kg)" sheetId="18" r:id="rId20"/>
    <sheet name="1391 (10 lit)" sheetId="19" r:id="rId21"/>
    <sheet name="1391 T (1 Kg)" sheetId="20" r:id="rId22"/>
    <sheet name="1523 (10 Lit)" sheetId="21" r:id="rId23"/>
    <sheet name="1392 (1 Kg)" sheetId="22" r:id="rId24"/>
    <sheet name="1511 (1 Kg)" sheetId="23" r:id="rId25"/>
    <sheet name="1521 (10 Lit)" sheetId="24" r:id="rId26"/>
    <sheet name="1591 (1 Kg)" sheetId="25" r:id="rId27"/>
    <sheet name="1591 (3 Kg)" sheetId="26" r:id="rId28"/>
    <sheet name="1593 (3 kg)" sheetId="37" r:id="rId29"/>
    <sheet name="1593 (1 KG)" sheetId="27" r:id="rId30"/>
    <sheet name="1811 (2 Kg)" sheetId="28" r:id="rId31"/>
    <sheet name="1811 (20 Kg)" sheetId="29" r:id="rId32"/>
    <sheet name="1812 (2 Kg)" sheetId="30" r:id="rId33"/>
    <sheet name="1813 (2 Kg)" sheetId="31" r:id="rId34"/>
    <sheet name="1813 (20 kg)" sheetId="36" r:id="rId35"/>
    <sheet name="1831 (1 Kg)" sheetId="32" r:id="rId36"/>
    <sheet name="1212 (450 gr)" sheetId="33" r:id="rId37"/>
  </sheets>
  <definedNames>
    <definedName name="_xlnm._FilterDatabase" localSheetId="0" hidden="1">'1111 (1Kg)'!$A$1:$H$912</definedName>
    <definedName name="_xlnm._FilterDatabase" localSheetId="7" hidden="1">'1161 (1 kg)'!$A$1:$H$71</definedName>
  </definedNames>
  <calcPr calcId="191029"/>
</workbook>
</file>

<file path=xl/calcChain.xml><?xml version="1.0" encoding="utf-8"?>
<calcChain xmlns="http://schemas.openxmlformats.org/spreadsheetml/2006/main">
  <c r="F167" i="33" l="1"/>
  <c r="F982" i="1"/>
  <c r="F84" i="22"/>
  <c r="F981" i="1"/>
  <c r="F980" i="1"/>
  <c r="F25" i="28"/>
  <c r="F979" i="1"/>
  <c r="F57" i="37"/>
  <c r="F158" i="23"/>
  <c r="F83" i="22"/>
  <c r="F318" i="11"/>
  <c r="F978" i="1"/>
  <c r="F23" i="15"/>
  <c r="F22" i="15"/>
  <c r="F95" i="14"/>
  <c r="F94" i="14"/>
  <c r="F977" i="1"/>
  <c r="F317" i="11"/>
  <c r="F976" i="1"/>
  <c r="F975" i="1"/>
  <c r="F186" i="12"/>
  <c r="F157" i="23"/>
  <c r="F80" i="35"/>
  <c r="F974" i="1"/>
  <c r="F57" i="30"/>
  <c r="F973" i="1"/>
  <c r="F316" i="11"/>
  <c r="F972" i="1"/>
  <c r="F315" i="11"/>
  <c r="F57" i="5"/>
  <c r="F24" i="28"/>
  <c r="F971" i="1"/>
  <c r="F56" i="37"/>
  <c r="F156" i="23"/>
  <c r="F970" i="1"/>
  <c r="F155" i="23"/>
  <c r="F969" i="1"/>
  <c r="F23" i="28"/>
  <c r="F32" i="20"/>
  <c r="F968" i="1"/>
  <c r="F960" i="1"/>
  <c r="F959" i="1"/>
  <c r="F185" i="12"/>
  <c r="F166" i="33"/>
  <c r="F314" i="11"/>
  <c r="F82" i="22"/>
  <c r="F52" i="8"/>
  <c r="F154" i="23"/>
  <c r="F56" i="5"/>
  <c r="F313" i="11"/>
  <c r="F56" i="30"/>
  <c r="F153" i="23"/>
  <c r="F20" i="6"/>
  <c r="F165" i="33"/>
  <c r="F16" i="9"/>
  <c r="F51" i="8"/>
  <c r="F79" i="35"/>
  <c r="F93" i="14"/>
  <c r="F164" i="33"/>
  <c r="F184" i="12"/>
  <c r="F183" i="12"/>
  <c r="F182" i="12"/>
  <c r="F55" i="37"/>
  <c r="F81" i="22"/>
  <c r="F312" i="11"/>
  <c r="F54" i="37"/>
  <c r="F80" i="22"/>
  <c r="F181" i="12"/>
  <c r="F50" i="8"/>
  <c r="F53" i="37"/>
  <c r="F163" i="33"/>
  <c r="F52" i="37"/>
  <c r="F79" i="22"/>
  <c r="F311" i="11"/>
  <c r="F78" i="22"/>
  <c r="F180" i="12"/>
  <c r="F310" i="11"/>
  <c r="F78" i="35"/>
  <c r="F152" i="23"/>
  <c r="F51" i="37"/>
  <c r="F151" i="23"/>
  <c r="F77" i="22"/>
  <c r="F179" i="12"/>
  <c r="F309" i="11"/>
  <c r="F162" i="33"/>
  <c r="F49" i="8"/>
  <c r="F92" i="14"/>
  <c r="F22" i="28"/>
  <c r="F19" i="31"/>
  <c r="F161" i="33"/>
  <c r="F178" i="12"/>
  <c r="F55" i="5"/>
  <c r="F177" i="12"/>
  <c r="F77" i="35"/>
  <c r="F308" i="11"/>
  <c r="F91" i="14"/>
  <c r="F31" i="20"/>
  <c r="F30" i="20"/>
  <c r="F150" i="23"/>
  <c r="F48" i="8"/>
  <c r="F176" i="12"/>
  <c r="F307" i="11"/>
  <c r="F160" i="33"/>
  <c r="F306" i="11"/>
  <c r="F50" i="37"/>
  <c r="F76" i="22"/>
  <c r="F149" i="23"/>
  <c r="F75" i="22"/>
  <c r="F90" i="14"/>
  <c r="F305" i="11"/>
  <c r="F159" i="33"/>
  <c r="F76" i="35"/>
  <c r="F175" i="12"/>
  <c r="F158" i="33"/>
  <c r="F49" i="37"/>
  <c r="F157" i="33"/>
  <c r="F174" i="12"/>
  <c r="F173" i="12"/>
  <c r="F156" i="33"/>
  <c r="F146" i="23"/>
  <c r="F147" i="23" s="1"/>
  <c r="F148" i="23" s="1"/>
  <c r="F21" i="28"/>
  <c r="F155" i="33"/>
  <c r="F304" i="11"/>
  <c r="F154" i="33"/>
  <c r="F28" i="20"/>
  <c r="F20" i="28"/>
  <c r="F89" i="14"/>
  <c r="F172" i="12"/>
  <c r="F144" i="23"/>
  <c r="F88" i="14"/>
  <c r="F75" i="35"/>
  <c r="F54" i="5"/>
  <c r="F171" i="12"/>
  <c r="F48" i="37"/>
  <c r="F302" i="11"/>
  <c r="F47" i="8"/>
  <c r="F170" i="12"/>
  <c r="F87" i="14"/>
  <c r="F301" i="11"/>
  <c r="F74" i="22"/>
  <c r="F169" i="12"/>
  <c r="F73" i="22"/>
  <c r="F55" i="30"/>
  <c r="F300" i="11"/>
  <c r="F26" i="20"/>
  <c r="F299" i="11"/>
  <c r="F25" i="20"/>
  <c r="F69" i="22"/>
  <c r="F70" i="22" s="1"/>
  <c r="F71" i="22" s="1"/>
  <c r="F72" i="22" s="1"/>
  <c r="F285" i="11" l="1"/>
  <c r="F286" i="11" s="1"/>
  <c r="F287" i="11" s="1"/>
  <c r="F288" i="11" s="1"/>
  <c r="F289" i="11" s="1"/>
  <c r="F290" i="11" s="1"/>
  <c r="F291" i="11" s="1"/>
  <c r="F292" i="11" s="1"/>
  <c r="F293" i="11" s="1"/>
  <c r="F294" i="11" s="1"/>
  <c r="F295" i="11" s="1"/>
  <c r="F296" i="11" s="1"/>
  <c r="F297" i="11" s="1"/>
  <c r="F298" i="11" s="1"/>
  <c r="F134" i="23"/>
  <c r="F135" i="23" s="1"/>
  <c r="F136" i="23" s="1"/>
  <c r="F137" i="23" s="1"/>
  <c r="F138" i="23" s="1"/>
  <c r="F139" i="23" s="1"/>
  <c r="F140" i="23" s="1"/>
  <c r="F141" i="23" s="1"/>
  <c r="F142" i="23" s="1"/>
  <c r="F143" i="23" s="1"/>
  <c r="F145" i="23" s="1"/>
  <c r="F14" i="9"/>
  <c r="F15" i="9" s="1"/>
  <c r="F158" i="12"/>
  <c r="F159" i="12" s="1"/>
  <c r="F160" i="12" s="1"/>
  <c r="F161" i="12" s="1"/>
  <c r="F162" i="12" s="1"/>
  <c r="F163" i="12" s="1"/>
  <c r="F164" i="12" s="1"/>
  <c r="F165" i="12" s="1"/>
  <c r="F166" i="12" s="1"/>
  <c r="F167" i="12" s="1"/>
  <c r="F168" i="12" s="1"/>
  <c r="H19" i="28"/>
  <c r="F84" i="14"/>
  <c r="F85" i="14" s="1"/>
  <c r="F86" i="14" s="1"/>
  <c r="F16" i="20"/>
  <c r="F17" i="20" s="1"/>
  <c r="F18" i="20" s="1"/>
  <c r="F19" i="20" s="1"/>
  <c r="F20" i="20" s="1"/>
  <c r="F21" i="20" s="1"/>
  <c r="F22" i="20" s="1"/>
  <c r="F23" i="20" s="1"/>
  <c r="F24" i="20" s="1"/>
  <c r="F144" i="33"/>
  <c r="F145" i="33" s="1"/>
  <c r="F146" i="33" s="1"/>
  <c r="F147" i="33" s="1"/>
  <c r="F148" i="33" s="1"/>
  <c r="F149" i="33" s="1"/>
  <c r="F150" i="33" s="1"/>
  <c r="F151" i="33" s="1"/>
  <c r="F152" i="33" s="1"/>
  <c r="F839" i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15" i="20"/>
  <c r="F72" i="4"/>
  <c r="F14" i="20"/>
  <c r="F60" i="22"/>
  <c r="F61" i="22" s="1"/>
  <c r="F62" i="22" s="1"/>
  <c r="F63" i="22" s="1"/>
  <c r="F64" i="22" s="1"/>
  <c r="F65" i="22" s="1"/>
  <c r="F66" i="22" s="1"/>
  <c r="F67" i="22" s="1"/>
  <c r="F59" i="22"/>
  <c r="F41" i="37"/>
  <c r="F42" i="37" s="1"/>
  <c r="F43" i="37" s="1"/>
  <c r="F44" i="37" s="1"/>
  <c r="F45" i="37" s="1"/>
  <c r="F46" i="37" s="1"/>
  <c r="F47" i="37" s="1"/>
  <c r="F119" i="33"/>
  <c r="F120" i="33" s="1"/>
  <c r="F121" i="33" s="1"/>
  <c r="F122" i="33" s="1"/>
  <c r="F123" i="33" s="1"/>
  <c r="F124" i="33" s="1"/>
  <c r="F125" i="33" s="1"/>
  <c r="F126" i="33" s="1"/>
  <c r="F127" i="33" s="1"/>
  <c r="F128" i="33" s="1"/>
  <c r="F129" i="33" s="1"/>
  <c r="F130" i="33" s="1"/>
  <c r="F131" i="33" s="1"/>
  <c r="F132" i="33" s="1"/>
  <c r="F133" i="33" s="1"/>
  <c r="F134" i="33" s="1"/>
  <c r="F135" i="33" s="1"/>
  <c r="F136" i="33" s="1"/>
  <c r="F137" i="33" s="1"/>
  <c r="F138" i="33" s="1"/>
  <c r="F139" i="33" s="1"/>
  <c r="F140" i="33" s="1"/>
  <c r="F141" i="33" s="1"/>
  <c r="F142" i="33" s="1"/>
  <c r="F756" i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265" i="11"/>
  <c r="F266" i="11" s="1"/>
  <c r="F267" i="11" s="1"/>
  <c r="F268" i="11" s="1"/>
  <c r="F269" i="11" s="1"/>
  <c r="F270" i="11" s="1"/>
  <c r="F271" i="11" s="1"/>
  <c r="F272" i="11" s="1"/>
  <c r="F273" i="11" s="1"/>
  <c r="F274" i="11" s="1"/>
  <c r="F275" i="11" s="1"/>
  <c r="F276" i="11" s="1"/>
  <c r="F277" i="11" s="1"/>
  <c r="F278" i="11" s="1"/>
  <c r="F279" i="11" s="1"/>
  <c r="F280" i="11" s="1"/>
  <c r="F281" i="11" s="1"/>
  <c r="F282" i="11" s="1"/>
  <c r="F283" i="11" s="1"/>
  <c r="F914" i="1" l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61" i="1" s="1"/>
  <c r="F962" i="1" s="1"/>
  <c r="F963" i="1" s="1"/>
  <c r="F964" i="1" s="1"/>
  <c r="F965" i="1" s="1"/>
  <c r="F966" i="1" s="1"/>
  <c r="F967" i="1" s="1"/>
  <c r="F823" i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38" i="8" l="1"/>
  <c r="F39" i="8" s="1"/>
  <c r="F40" i="8" s="1"/>
  <c r="F41" i="8" s="1"/>
  <c r="F42" i="8" s="1"/>
  <c r="F43" i="8" s="1"/>
  <c r="F44" i="8" s="1"/>
  <c r="F45" i="8" s="1"/>
  <c r="F46" i="8" s="1"/>
  <c r="F59" i="4" l="1"/>
  <c r="F60" i="4" s="1"/>
  <c r="F61" i="4" s="1"/>
  <c r="F62" i="4" s="1"/>
  <c r="F63" i="4" s="1"/>
  <c r="F78" i="14" l="1"/>
  <c r="F79" i="14" s="1"/>
  <c r="F80" i="14" s="1"/>
  <c r="F81" i="14" s="1"/>
  <c r="F22" i="18" l="1"/>
  <c r="F23" i="18" s="1"/>
  <c r="F24" i="18" s="1"/>
  <c r="F38" i="37" l="1"/>
  <c r="F39" i="37" s="1"/>
  <c r="F682" i="1" l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44" i="5" l="1"/>
  <c r="F58" i="35" l="1"/>
  <c r="F59" i="35" s="1"/>
  <c r="F60" i="35" s="1"/>
  <c r="F61" i="35" s="1"/>
  <c r="F62" i="35" s="1"/>
  <c r="F63" i="35" s="1"/>
  <c r="F64" i="35" s="1"/>
  <c r="F65" i="35" s="1"/>
  <c r="F66" i="35" s="1"/>
  <c r="F67" i="35" s="1"/>
  <c r="F68" i="35" s="1"/>
  <c r="F69" i="35" s="1"/>
  <c r="F70" i="35" s="1"/>
  <c r="F71" i="35" s="1"/>
  <c r="F72" i="35" s="1"/>
  <c r="F73" i="35" s="1"/>
  <c r="F74" i="35" s="1"/>
  <c r="F17" i="31" l="1"/>
  <c r="F18" i="31" s="1"/>
  <c r="F47" i="30" l="1"/>
  <c r="F48" i="30" s="1"/>
  <c r="F49" i="30" s="1"/>
  <c r="F50" i="30" s="1"/>
  <c r="F51" i="30" s="1"/>
  <c r="F52" i="30" s="1"/>
  <c r="F53" i="30" s="1"/>
  <c r="F54" i="30" s="1"/>
  <c r="F49" i="22" l="1"/>
  <c r="F50" i="22" s="1"/>
  <c r="F51" i="22" s="1"/>
  <c r="F52" i="22" s="1"/>
  <c r="F53" i="22" s="1"/>
  <c r="F54" i="22" s="1"/>
  <c r="F55" i="22" s="1"/>
  <c r="F56" i="22" s="1"/>
  <c r="F57" i="22" s="1"/>
  <c r="F122" i="12" l="1"/>
  <c r="F123" i="12" s="1"/>
  <c r="F124" i="12" s="1"/>
  <c r="F125" i="12" s="1"/>
  <c r="F126" i="12" s="1"/>
  <c r="F127" i="12" s="1"/>
  <c r="F128" i="12" s="1"/>
  <c r="F129" i="12" s="1"/>
  <c r="F130" i="12" s="1"/>
  <c r="F131" i="12" s="1"/>
  <c r="F132" i="12" s="1"/>
  <c r="F133" i="12" s="1"/>
  <c r="F134" i="12" s="1"/>
  <c r="F135" i="12" s="1"/>
  <c r="F136" i="12" s="1"/>
  <c r="F137" i="12" s="1"/>
  <c r="F138" i="12" s="1"/>
  <c r="F139" i="12" s="1"/>
  <c r="F140" i="12" s="1"/>
  <c r="F141" i="12" s="1"/>
  <c r="F142" i="12" s="1"/>
  <c r="F143" i="12" s="1"/>
  <c r="F144" i="12" s="1"/>
  <c r="F145" i="12" s="1"/>
  <c r="F146" i="12" s="1"/>
  <c r="F147" i="12" s="1"/>
  <c r="F148" i="12" s="1"/>
  <c r="F149" i="12" s="1"/>
  <c r="F150" i="12" s="1"/>
  <c r="F151" i="12" s="1"/>
  <c r="F152" i="12" s="1"/>
  <c r="F153" i="12" s="1"/>
  <c r="F154" i="12" s="1"/>
  <c r="F155" i="12" s="1"/>
  <c r="F156" i="12" s="1"/>
  <c r="F105" i="23" l="1"/>
  <c r="F106" i="23" s="1"/>
  <c r="F107" i="23" s="1"/>
  <c r="F108" i="23" s="1"/>
  <c r="F109" i="23" s="1"/>
  <c r="F110" i="23" s="1"/>
  <c r="F111" i="23" s="1"/>
  <c r="F112" i="23" s="1"/>
  <c r="F113" i="23" s="1"/>
  <c r="F114" i="23" s="1"/>
  <c r="F115" i="23" s="1"/>
  <c r="F116" i="23" s="1"/>
  <c r="F117" i="23" s="1"/>
  <c r="F118" i="23" s="1"/>
  <c r="F119" i="23" s="1"/>
  <c r="F120" i="23" s="1"/>
  <c r="F121" i="23" s="1"/>
  <c r="F122" i="23" s="1"/>
  <c r="F123" i="23" s="1"/>
  <c r="F124" i="23" s="1"/>
  <c r="F125" i="23" s="1"/>
  <c r="F126" i="23" s="1"/>
  <c r="F127" i="23" s="1"/>
  <c r="F128" i="23" s="1"/>
  <c r="F129" i="23" s="1"/>
  <c r="F130" i="23" s="1"/>
  <c r="F131" i="23" s="1"/>
  <c r="F132" i="23" s="1"/>
  <c r="F18" i="18" l="1"/>
  <c r="F19" i="18" s="1"/>
  <c r="F20" i="18" s="1"/>
  <c r="F624" i="1" l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l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35" i="37"/>
  <c r="F36" i="37" s="1"/>
  <c r="F3" i="16" l="1"/>
  <c r="F4" i="16" s="1"/>
  <c r="F11" i="18" l="1"/>
  <c r="F12" i="18" s="1"/>
  <c r="F13" i="18" s="1"/>
  <c r="F14" i="18" s="1"/>
  <c r="F15" i="18" s="1"/>
  <c r="F16" i="18" s="1"/>
  <c r="F31" i="37" l="1"/>
  <c r="F32" i="37" s="1"/>
  <c r="F33" i="37" s="1"/>
  <c r="F10" i="27" l="1"/>
  <c r="F11" i="27" s="1"/>
  <c r="F12" i="27" s="1"/>
  <c r="F3" i="36" l="1"/>
  <c r="F4" i="36" s="1"/>
  <c r="F25" i="37" l="1"/>
  <c r="F26" i="37" s="1"/>
  <c r="F27" i="37" s="1"/>
  <c r="F28" i="37" s="1"/>
  <c r="F29" i="37" s="1"/>
  <c r="F85" i="33" l="1"/>
  <c r="F86" i="33" s="1"/>
  <c r="F87" i="33" s="1"/>
  <c r="F88" i="33" s="1"/>
  <c r="F89" i="33" s="1"/>
  <c r="F90" i="33" s="1"/>
  <c r="F91" i="33" s="1"/>
  <c r="F92" i="33" s="1"/>
  <c r="F93" i="33" s="1"/>
  <c r="F94" i="33" s="1"/>
  <c r="F95" i="33" s="1"/>
  <c r="F96" i="33" s="1"/>
  <c r="F97" i="33" s="1"/>
  <c r="F98" i="33" s="1"/>
  <c r="F99" i="33" s="1"/>
  <c r="F100" i="33" s="1"/>
  <c r="F101" i="33" s="1"/>
  <c r="F102" i="33" s="1"/>
  <c r="F103" i="33" s="1"/>
  <c r="F104" i="33" s="1"/>
  <c r="F105" i="33" s="1"/>
  <c r="F106" i="33" s="1"/>
  <c r="F107" i="33" s="1"/>
  <c r="F108" i="33" s="1"/>
  <c r="F109" i="33" s="1"/>
  <c r="F110" i="33" s="1"/>
  <c r="F111" i="33" s="1"/>
  <c r="F112" i="33" s="1"/>
  <c r="F113" i="33" s="1"/>
  <c r="F114" i="33" s="1"/>
  <c r="F115" i="33" s="1"/>
  <c r="F116" i="33" s="1"/>
  <c r="F18" i="37" l="1"/>
  <c r="F19" i="37" s="1"/>
  <c r="F20" i="37" s="1"/>
  <c r="F21" i="37" s="1"/>
  <c r="F22" i="37" s="1"/>
  <c r="F23" i="37" s="1"/>
  <c r="H13" i="28" l="1"/>
  <c r="H14" i="28" s="1"/>
  <c r="H15" i="28" s="1"/>
  <c r="H16" i="28" s="1"/>
  <c r="F4" i="18" l="1"/>
  <c r="F5" i="18" s="1"/>
  <c r="F6" i="18" s="1"/>
  <c r="F7" i="18" s="1"/>
  <c r="F8" i="18" s="1"/>
  <c r="F9" i="18" s="1"/>
  <c r="F75" i="2" l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47" i="4" l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60" i="14" l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355" i="1" l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9" i="37" l="1"/>
  <c r="F10" i="37" s="1"/>
  <c r="F11" i="37" s="1"/>
  <c r="F12" i="37" s="1"/>
  <c r="F13" i="37" s="1"/>
  <c r="F14" i="37" s="1"/>
  <c r="F15" i="37" s="1"/>
  <c r="F16" i="37" s="1"/>
  <c r="F270" i="1" l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28" i="32" l="1"/>
  <c r="F29" i="32" s="1"/>
  <c r="F9" i="31" l="1"/>
  <c r="F10" i="31" s="1"/>
  <c r="F11" i="31" s="1"/>
  <c r="F12" i="31" s="1"/>
  <c r="F13" i="31" s="1"/>
  <c r="F14" i="31" s="1"/>
  <c r="F15" i="31" s="1"/>
  <c r="F3" i="37" l="1"/>
  <c r="F4" i="37" s="1"/>
  <c r="F5" i="37" s="1"/>
  <c r="F6" i="37" s="1"/>
  <c r="F7" i="37" s="1"/>
  <c r="F3" i="34" l="1"/>
  <c r="F3" i="27" l="1"/>
  <c r="F4" i="27" s="1"/>
  <c r="F5" i="27" s="1"/>
  <c r="F6" i="27" s="1"/>
  <c r="F7" i="27" s="1"/>
  <c r="F8" i="27" s="1"/>
  <c r="H13" i="5" l="1"/>
  <c r="H14" i="5" s="1"/>
  <c r="H15" i="5" s="1"/>
  <c r="H16" i="5" s="1"/>
  <c r="F4" i="15" l="1"/>
  <c r="F5" i="15" s="1"/>
  <c r="F6" i="15" s="1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18" i="2" l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3" i="3" l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5" i="23" l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F38" i="23" s="1"/>
  <c r="F39" i="23" s="1"/>
  <c r="F40" i="23" s="1"/>
  <c r="F41" i="23" s="1"/>
  <c r="F42" i="23" s="1"/>
  <c r="F43" i="23" s="1"/>
  <c r="F44" i="23" s="1"/>
  <c r="F45" i="23" s="1"/>
  <c r="F46" i="23" s="1"/>
  <c r="F47" i="23" s="1"/>
  <c r="F48" i="23" s="1"/>
  <c r="F49" i="23" s="1"/>
  <c r="F50" i="23" s="1"/>
  <c r="F51" i="23" s="1"/>
  <c r="F52" i="23" s="1"/>
  <c r="F53" i="23" s="1"/>
  <c r="F54" i="23" s="1"/>
  <c r="F55" i="23" s="1"/>
  <c r="F56" i="23" s="1"/>
  <c r="F57" i="23" s="1"/>
  <c r="F58" i="23" s="1"/>
  <c r="F59" i="23" s="1"/>
  <c r="F60" i="23" s="1"/>
  <c r="F61" i="23" s="1"/>
  <c r="F62" i="23" s="1"/>
  <c r="F63" i="23" s="1"/>
  <c r="F64" i="23" s="1"/>
  <c r="F65" i="23" s="1"/>
  <c r="F66" i="23" s="1"/>
  <c r="F67" i="23" s="1"/>
  <c r="F68" i="23" s="1"/>
  <c r="F69" i="23" s="1"/>
  <c r="F70" i="23" s="1"/>
  <c r="F71" i="23" s="1"/>
  <c r="F72" i="23" s="1"/>
  <c r="F73" i="23" s="1"/>
  <c r="F74" i="23" s="1"/>
  <c r="F75" i="23" s="1"/>
  <c r="F76" i="23" s="1"/>
  <c r="F77" i="23" s="1"/>
  <c r="F78" i="23" s="1"/>
  <c r="F79" i="23" s="1"/>
  <c r="F80" i="23" s="1"/>
  <c r="F81" i="23" s="1"/>
  <c r="F82" i="23" s="1"/>
  <c r="F83" i="23" s="1"/>
  <c r="F84" i="23" s="1"/>
  <c r="F85" i="23" s="1"/>
  <c r="F86" i="23" s="1"/>
  <c r="F87" i="23" s="1"/>
  <c r="F88" i="23" s="1"/>
  <c r="F89" i="23" s="1"/>
  <c r="F90" i="23" s="1"/>
  <c r="F91" i="23" s="1"/>
  <c r="F92" i="23" s="1"/>
  <c r="F93" i="23" s="1"/>
  <c r="F94" i="23" s="1"/>
  <c r="F95" i="23" s="1"/>
  <c r="F96" i="23" s="1"/>
  <c r="F97" i="23" s="1"/>
  <c r="F98" i="23" s="1"/>
  <c r="F99" i="23" s="1"/>
  <c r="F100" i="23" s="1"/>
  <c r="F101" i="23" s="1"/>
  <c r="F102" i="23" s="1"/>
  <c r="F7" i="6" l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34" i="11" l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148" i="11" s="1"/>
  <c r="F149" i="11" s="1"/>
  <c r="F150" i="11" s="1"/>
  <c r="F151" i="11" s="1"/>
  <c r="F152" i="11" s="1"/>
  <c r="F153" i="11" s="1"/>
  <c r="F154" i="11" s="1"/>
  <c r="F155" i="11" s="1"/>
  <c r="F156" i="11" s="1"/>
  <c r="F157" i="11" s="1"/>
  <c r="F158" i="11" s="1"/>
  <c r="F159" i="11" s="1"/>
  <c r="F160" i="11" s="1"/>
  <c r="F161" i="11" s="1"/>
  <c r="F162" i="11" s="1"/>
  <c r="F163" i="11" s="1"/>
  <c r="F164" i="11" s="1"/>
  <c r="F165" i="11" s="1"/>
  <c r="F166" i="11" s="1"/>
  <c r="F167" i="11" s="1"/>
  <c r="F168" i="11" s="1"/>
  <c r="F169" i="11" s="1"/>
  <c r="F170" i="11" s="1"/>
  <c r="F171" i="11" s="1"/>
  <c r="F172" i="11" s="1"/>
  <c r="F173" i="11" s="1"/>
  <c r="F174" i="11" s="1"/>
  <c r="F175" i="11" s="1"/>
  <c r="F176" i="11" s="1"/>
  <c r="F177" i="11" s="1"/>
  <c r="F178" i="11" s="1"/>
  <c r="F179" i="11" s="1"/>
  <c r="F180" i="11" s="1"/>
  <c r="F181" i="11" s="1"/>
  <c r="F182" i="11" s="1"/>
  <c r="F183" i="11" s="1"/>
  <c r="F184" i="11" s="1"/>
  <c r="F185" i="11" s="1"/>
  <c r="F186" i="11" s="1"/>
  <c r="F187" i="11" s="1"/>
  <c r="F188" i="11" s="1"/>
  <c r="F189" i="11" s="1"/>
  <c r="F190" i="11" s="1"/>
  <c r="F191" i="11" s="1"/>
  <c r="F192" i="11" s="1"/>
  <c r="F193" i="11" s="1"/>
  <c r="F194" i="11" s="1"/>
  <c r="F195" i="11" s="1"/>
  <c r="F196" i="11" s="1"/>
  <c r="F197" i="11" s="1"/>
  <c r="F198" i="11" s="1"/>
  <c r="F199" i="11" s="1"/>
  <c r="F200" i="11" s="1"/>
  <c r="F201" i="11" s="1"/>
  <c r="F202" i="11" s="1"/>
  <c r="F203" i="11" s="1"/>
  <c r="F204" i="11" s="1"/>
  <c r="F205" i="11" s="1"/>
  <c r="F206" i="11" s="1"/>
  <c r="F207" i="11" s="1"/>
  <c r="F208" i="11" s="1"/>
  <c r="F209" i="11" s="1"/>
  <c r="F210" i="11" s="1"/>
  <c r="F211" i="11" s="1"/>
  <c r="F212" i="11" s="1"/>
  <c r="F213" i="11" s="1"/>
  <c r="F214" i="11" s="1"/>
  <c r="F215" i="11" s="1"/>
  <c r="F216" i="11" s="1"/>
  <c r="F217" i="11" s="1"/>
  <c r="F218" i="11" s="1"/>
  <c r="F219" i="11" s="1"/>
  <c r="F220" i="11" s="1"/>
  <c r="F221" i="11" s="1"/>
  <c r="F222" i="11" s="1"/>
  <c r="F223" i="11" s="1"/>
  <c r="F224" i="11" s="1"/>
  <c r="F225" i="11" s="1"/>
  <c r="F226" i="11" s="1"/>
  <c r="F227" i="11" s="1"/>
  <c r="F228" i="11" s="1"/>
  <c r="F229" i="11" s="1"/>
  <c r="F230" i="11" s="1"/>
  <c r="F231" i="11" s="1"/>
  <c r="F232" i="11" s="1"/>
  <c r="F233" i="11" s="1"/>
  <c r="F234" i="11" s="1"/>
  <c r="F235" i="11" s="1"/>
  <c r="F236" i="11" s="1"/>
  <c r="F237" i="11" s="1"/>
  <c r="F238" i="11" s="1"/>
  <c r="F239" i="11" s="1"/>
  <c r="F240" i="11" s="1"/>
  <c r="F241" i="11" s="1"/>
  <c r="F242" i="11" s="1"/>
  <c r="F243" i="11" s="1"/>
  <c r="F244" i="11" s="1"/>
  <c r="F245" i="11" s="1"/>
  <c r="F246" i="11" s="1"/>
  <c r="F247" i="11" s="1"/>
  <c r="F248" i="11" s="1"/>
  <c r="F249" i="11" s="1"/>
  <c r="F250" i="11" s="1"/>
  <c r="F251" i="11" s="1"/>
  <c r="F252" i="11" s="1"/>
  <c r="F253" i="11" s="1"/>
  <c r="F254" i="11" s="1"/>
  <c r="F255" i="11" s="1"/>
  <c r="F256" i="11" s="1"/>
  <c r="F257" i="11" s="1"/>
  <c r="F258" i="11" s="1"/>
  <c r="F259" i="11" s="1"/>
  <c r="F260" i="11" s="1"/>
  <c r="F261" i="11" s="1"/>
  <c r="F262" i="11" s="1"/>
  <c r="F263" i="11" s="1"/>
  <c r="F20" i="14" l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21" i="10" l="1"/>
  <c r="F22" i="10" s="1"/>
  <c r="F23" i="10" s="1"/>
  <c r="F24" i="10" s="1"/>
  <c r="F25" i="10" l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3" i="35"/>
  <c r="F4" i="35" s="1"/>
  <c r="F5" i="35" s="1"/>
  <c r="F6" i="35" s="1"/>
  <c r="F7" i="35" s="1"/>
  <c r="F8" i="35" s="1"/>
  <c r="F9" i="35" s="1"/>
  <c r="F10" i="35" s="1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F27" i="35" s="1"/>
  <c r="F28" i="35" s="1"/>
  <c r="F29" i="35" s="1"/>
  <c r="F30" i="35" s="1"/>
  <c r="F31" i="35" s="1"/>
  <c r="F32" i="35" l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F46" i="35" s="1"/>
  <c r="F47" i="35" s="1"/>
  <c r="F48" i="35" s="1"/>
  <c r="F49" i="35" s="1"/>
  <c r="F50" i="35" s="1"/>
  <c r="F51" i="35" s="1"/>
  <c r="F52" i="35" s="1"/>
  <c r="F53" i="35" s="1"/>
  <c r="F54" i="35" s="1"/>
  <c r="F55" i="35" s="1"/>
  <c r="F56" i="35" s="1"/>
  <c r="G31" i="35"/>
  <c r="F3" i="33"/>
  <c r="F4" i="33" s="1"/>
  <c r="F5" i="33" s="1"/>
  <c r="F6" i="33" s="1"/>
  <c r="F7" i="33" s="1"/>
  <c r="F8" i="33" s="1"/>
  <c r="F9" i="33" s="1"/>
  <c r="F10" i="33" s="1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31" i="33" s="1"/>
  <c r="F32" i="33" s="1"/>
  <c r="F33" i="33" s="1"/>
  <c r="F34" i="33" s="1"/>
  <c r="F35" i="33" s="1"/>
  <c r="F36" i="33" s="1"/>
  <c r="F37" i="33" s="1"/>
  <c r="F38" i="33" s="1"/>
  <c r="F39" i="33" s="1"/>
  <c r="F40" i="33" s="1"/>
  <c r="F41" i="33" s="1"/>
  <c r="F42" i="33" s="1"/>
  <c r="F43" i="33" s="1"/>
  <c r="F44" i="33" s="1"/>
  <c r="F45" i="33" s="1"/>
  <c r="F46" i="33" s="1"/>
  <c r="F47" i="33" s="1"/>
  <c r="F48" i="33" s="1"/>
  <c r="F49" i="33" s="1"/>
  <c r="F50" i="33" s="1"/>
  <c r="F51" i="33" s="1"/>
  <c r="F52" i="33" s="1"/>
  <c r="F53" i="33" s="1"/>
  <c r="F54" i="33" s="1"/>
  <c r="F55" i="33" s="1"/>
  <c r="F56" i="33" s="1"/>
  <c r="F57" i="33" s="1"/>
  <c r="F58" i="33" s="1"/>
  <c r="F59" i="33" s="1"/>
  <c r="F60" i="33" s="1"/>
  <c r="F61" i="33" s="1"/>
  <c r="F62" i="33" s="1"/>
  <c r="F63" i="33" s="1"/>
  <c r="F64" i="33" s="1"/>
  <c r="F65" i="33" s="1"/>
  <c r="F66" i="33" s="1"/>
  <c r="F67" i="33" s="1"/>
  <c r="F68" i="33" s="1"/>
  <c r="F69" i="33" s="1"/>
  <c r="F70" i="33" s="1"/>
  <c r="F71" i="33" s="1"/>
  <c r="F72" i="33" s="1"/>
  <c r="F73" i="33" s="1"/>
  <c r="F74" i="33" s="1"/>
  <c r="F75" i="33" s="1"/>
  <c r="F76" i="33" s="1"/>
  <c r="F77" i="33" s="1"/>
  <c r="F78" i="33" s="1"/>
  <c r="F79" i="33" s="1"/>
  <c r="F80" i="33" s="1"/>
  <c r="F81" i="33" s="1"/>
  <c r="F82" i="33" s="1"/>
  <c r="F83" i="33" s="1"/>
  <c r="F11" i="26" l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7" i="26" l="1"/>
  <c r="F8" i="26" l="1"/>
  <c r="F9" i="26" s="1"/>
  <c r="F3" i="22" l="1"/>
  <c r="F4" i="22" s="1"/>
  <c r="F5" i="22" s="1"/>
  <c r="F6" i="22" s="1"/>
  <c r="F7" i="22" s="1"/>
  <c r="F8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3" i="20" l="1"/>
  <c r="F4" i="20" s="1"/>
  <c r="F5" i="20" s="1"/>
  <c r="F6" i="20" s="1"/>
  <c r="F7" i="20" s="1"/>
  <c r="F8" i="20" s="1"/>
  <c r="F9" i="20" s="1"/>
  <c r="F10" i="20" s="1"/>
  <c r="F11" i="20" s="1"/>
  <c r="F12" i="20" s="1"/>
  <c r="F3" i="13" l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3" i="7" l="1"/>
  <c r="F4" i="7" s="1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3" i="9" l="1"/>
  <c r="F4" i="9" s="1"/>
  <c r="F5" i="9" s="1"/>
  <c r="F6" i="9" s="1"/>
  <c r="F7" i="9" s="1"/>
  <c r="F8" i="9" s="1"/>
  <c r="F9" i="9" s="1"/>
  <c r="F10" i="9" s="1"/>
  <c r="F11" i="9" s="1"/>
  <c r="H11" i="11" l="1"/>
  <c r="H17" i="1" l="1"/>
  <c r="F3" i="5" l="1"/>
  <c r="F4" i="5" l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5" i="5" s="1"/>
  <c r="F46" i="5" s="1"/>
  <c r="F47" i="5" s="1"/>
  <c r="F48" i="5" s="1"/>
  <c r="F49" i="5" s="1"/>
  <c r="F50" i="5" s="1"/>
  <c r="F51" i="5" s="1"/>
  <c r="F52" i="5" s="1"/>
  <c r="F53" i="5" s="1"/>
  <c r="F3" i="30"/>
  <c r="F4" i="30" s="1"/>
  <c r="F5" i="30" s="1"/>
  <c r="F6" i="30" s="1"/>
  <c r="F7" i="30" s="1"/>
  <c r="F8" i="30" s="1"/>
  <c r="F9" i="30" s="1"/>
  <c r="F10" i="30" s="1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41" i="30" s="1"/>
  <c r="F42" i="30" s="1"/>
  <c r="F43" i="30" s="1"/>
  <c r="F44" i="30" s="1"/>
  <c r="F45" i="30" s="1"/>
  <c r="F3" i="17" l="1"/>
  <c r="F4" i="17" s="1"/>
  <c r="F5" i="17" s="1"/>
  <c r="F6" i="17" s="1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48" i="17" s="1"/>
  <c r="F3" i="28" l="1"/>
  <c r="F4" i="28" s="1"/>
  <c r="F5" i="28" s="1"/>
  <c r="F6" i="28" s="1"/>
  <c r="F7" i="28" s="1"/>
  <c r="F8" i="28" s="1"/>
  <c r="F9" i="28" s="1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3" i="10" l="1"/>
  <c r="F4" i="10" s="1"/>
  <c r="F5" i="10" l="1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3" i="8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" i="4"/>
  <c r="F4" i="4" l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3" i="25"/>
  <c r="F4" i="25" s="1"/>
  <c r="F5" i="25" s="1"/>
  <c r="F6" i="25" s="1"/>
  <c r="F7" i="25" s="1"/>
  <c r="F3" i="26" l="1"/>
  <c r="F4" i="26" s="1"/>
  <c r="F5" i="26" s="1"/>
  <c r="F3" i="6" l="1"/>
  <c r="F4" i="6" s="1"/>
  <c r="F5" i="6" s="1"/>
  <c r="F3" i="32" l="1"/>
  <c r="F4" i="32" s="1"/>
  <c r="F5" i="32" s="1"/>
  <c r="F6" i="32" s="1"/>
  <c r="F7" i="32" s="1"/>
  <c r="F8" i="32" s="1"/>
  <c r="F9" i="32" s="1"/>
  <c r="F10" i="32" s="1"/>
  <c r="F11" i="32" s="1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3" i="12" l="1"/>
  <c r="F4" i="12" s="1"/>
  <c r="F5" i="12" s="1"/>
  <c r="F6" i="12" s="1"/>
  <c r="F7" i="12" s="1"/>
  <c r="F8" i="12" l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3" i="23"/>
  <c r="F4" i="23" s="1"/>
  <c r="F5" i="23" l="1"/>
  <c r="F6" i="23" s="1"/>
  <c r="F7" i="23" s="1"/>
  <c r="F8" i="23" s="1"/>
  <c r="F9" i="23" s="1"/>
  <c r="F10" i="23" s="1"/>
  <c r="F11" i="23" s="1"/>
  <c r="F12" i="23" s="1"/>
  <c r="F13" i="23" s="1"/>
  <c r="F3" i="31"/>
  <c r="F4" i="31" s="1"/>
  <c r="F5" i="31" s="1"/>
  <c r="F6" i="31" s="1"/>
  <c r="F7" i="31" s="1"/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3" i="2" l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3" i="14" l="1"/>
  <c r="F3" i="11"/>
  <c r="F4" i="11" s="1"/>
  <c r="F5" i="11" s="1"/>
  <c r="F6" i="11" s="1"/>
  <c r="F4" i="14" l="1"/>
  <c r="F5" i="14" s="1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7" i="1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</calcChain>
</file>

<file path=xl/sharedStrings.xml><?xml version="1.0" encoding="utf-8"?>
<sst xmlns="http://schemas.openxmlformats.org/spreadsheetml/2006/main" count="9934" uniqueCount="2685">
  <si>
    <t>ردیف</t>
  </si>
  <si>
    <t xml:space="preserve">تاریخ </t>
  </si>
  <si>
    <t>ورودی</t>
  </si>
  <si>
    <t xml:space="preserve">خروجی </t>
  </si>
  <si>
    <t xml:space="preserve">مانده </t>
  </si>
  <si>
    <t xml:space="preserve">شماره فاکتور </t>
  </si>
  <si>
    <t>نام مشتری</t>
  </si>
  <si>
    <t>نام محصول</t>
  </si>
  <si>
    <t>15/10/93</t>
  </si>
  <si>
    <t>نیروگاه شازند اراک</t>
  </si>
  <si>
    <t>1111 (1 Kg)</t>
  </si>
  <si>
    <t>1111 (2 Kg)</t>
  </si>
  <si>
    <t>1111 (400 Gr)</t>
  </si>
  <si>
    <t>1121 (1 Kg)</t>
  </si>
  <si>
    <t>1131 (1 Kg)</t>
  </si>
  <si>
    <t>1141 (1.5 Kg)</t>
  </si>
  <si>
    <t>1211 (500 Gr</t>
  </si>
  <si>
    <t>1221 (125 Gr)</t>
  </si>
  <si>
    <t>1251 (750 Gr)</t>
  </si>
  <si>
    <t>1291 (140 Gr)</t>
  </si>
  <si>
    <t>1311 (2 Kg)</t>
  </si>
  <si>
    <t>1321 (1 Kg)</t>
  </si>
  <si>
    <t>1321 (3 Kg)</t>
  </si>
  <si>
    <t>1341 (500 Gr)</t>
  </si>
  <si>
    <t>1341 N (750 Gr)</t>
  </si>
  <si>
    <t>1341 (5 Kg)</t>
  </si>
  <si>
    <t>1391 (1 Kg)</t>
  </si>
  <si>
    <t>1391 (3 Kg)</t>
  </si>
  <si>
    <t>1391 (10 Lit)</t>
  </si>
  <si>
    <t>1391 T (1 Kg)</t>
  </si>
  <si>
    <t>1523 (10 Lit)</t>
  </si>
  <si>
    <t>1392 (1 Kg)</t>
  </si>
  <si>
    <t>1511 (1 Kg)</t>
  </si>
  <si>
    <t>1521 (10 lit)</t>
  </si>
  <si>
    <t>1591 (1 Kg)</t>
  </si>
  <si>
    <t>1591 (3 Kg)</t>
  </si>
  <si>
    <t>1593 (1 Kg)</t>
  </si>
  <si>
    <t>1811 (2 Kg)</t>
  </si>
  <si>
    <t>1811 (20 Kg)</t>
  </si>
  <si>
    <t>1812 (2 Kg)</t>
  </si>
  <si>
    <t>1813 (2 Kg)</t>
  </si>
  <si>
    <t>1831 (1 Kg)</t>
  </si>
  <si>
    <t>25/10/93</t>
  </si>
  <si>
    <t>پتروشیمی آریا ساسول</t>
  </si>
  <si>
    <t>3/12/92</t>
  </si>
  <si>
    <t>نمونه به پارس جنوبی فاز 6 و 7 و 8</t>
  </si>
  <si>
    <t xml:space="preserve">پایانه های نفتی ایران </t>
  </si>
  <si>
    <t>23/10/93</t>
  </si>
  <si>
    <t>M675</t>
  </si>
  <si>
    <t>کیمیا کارسان (رستگار)</t>
  </si>
  <si>
    <t>24/11/92</t>
  </si>
  <si>
    <t>M601</t>
  </si>
  <si>
    <t xml:space="preserve">طالب زاده </t>
  </si>
  <si>
    <t>20/08/93</t>
  </si>
  <si>
    <t>M664</t>
  </si>
  <si>
    <t>طالب زاده</t>
  </si>
  <si>
    <t>29/04/92</t>
  </si>
  <si>
    <t>M536</t>
  </si>
  <si>
    <t>21/10/93</t>
  </si>
  <si>
    <t>M674</t>
  </si>
  <si>
    <t>06/11/93</t>
  </si>
  <si>
    <t>سنگ آهن مرکزی</t>
  </si>
  <si>
    <t>27/10/93</t>
  </si>
  <si>
    <t>27/03/92</t>
  </si>
  <si>
    <t>M527</t>
  </si>
  <si>
    <t>16/10/93</t>
  </si>
  <si>
    <t>خمیر کاغذ اترک</t>
  </si>
  <si>
    <t>25/03/93</t>
  </si>
  <si>
    <t xml:space="preserve">شیمی تکس آریا </t>
  </si>
  <si>
    <t>پمپ های صنعتی ایران</t>
  </si>
  <si>
    <t>1/10/93</t>
  </si>
  <si>
    <t>پتروشیمی جم</t>
  </si>
  <si>
    <t>27/01/93</t>
  </si>
  <si>
    <t>تولید برق هرمزگان</t>
  </si>
  <si>
    <t>07/10/89</t>
  </si>
  <si>
    <t>08/02/93</t>
  </si>
  <si>
    <t>ایران اویل فیلد سوپلای</t>
  </si>
  <si>
    <t>09/10/93</t>
  </si>
  <si>
    <t>29/10/93</t>
  </si>
  <si>
    <t>پتروشیمی پردیس</t>
  </si>
  <si>
    <t>پارس جنوبی</t>
  </si>
  <si>
    <t>01/09/93</t>
  </si>
  <si>
    <t>12/10/89</t>
  </si>
  <si>
    <t>M299</t>
  </si>
  <si>
    <t>?</t>
  </si>
  <si>
    <t>08/06/93</t>
  </si>
  <si>
    <t>الوند توان انرژی</t>
  </si>
  <si>
    <t>14/10/93</t>
  </si>
  <si>
    <t>پالایش نفت امام خمینی (شازند)</t>
  </si>
  <si>
    <t>03/10/93</t>
  </si>
  <si>
    <t>M671</t>
  </si>
  <si>
    <t>بانژ</t>
  </si>
  <si>
    <t>07/11/93</t>
  </si>
  <si>
    <t>شرکت آب نیرو (سد گتوند(</t>
  </si>
  <si>
    <t>شرکت آب نیرو (سد گتوند)</t>
  </si>
  <si>
    <t>04/11/93</t>
  </si>
  <si>
    <t>کلورز آریانا</t>
  </si>
  <si>
    <t>09/11/93</t>
  </si>
  <si>
    <t>11/11/93</t>
  </si>
  <si>
    <t>M676</t>
  </si>
  <si>
    <t>12/11/93</t>
  </si>
  <si>
    <t>14/11/93</t>
  </si>
  <si>
    <t>M677</t>
  </si>
  <si>
    <t>15/11/93</t>
  </si>
  <si>
    <t>M678</t>
  </si>
  <si>
    <t>16/11/93</t>
  </si>
  <si>
    <t>سیمان هگمتان</t>
  </si>
  <si>
    <t>روئیان صنعت</t>
  </si>
  <si>
    <t>18/11/93</t>
  </si>
  <si>
    <t>M679</t>
  </si>
  <si>
    <t>20/11/93</t>
  </si>
  <si>
    <t>M680</t>
  </si>
  <si>
    <t>21/11/93</t>
  </si>
  <si>
    <t>M681</t>
  </si>
  <si>
    <t>25/11/93</t>
  </si>
  <si>
    <t>شرکت رامپکو</t>
  </si>
  <si>
    <t>رامپکو</t>
  </si>
  <si>
    <t>شرکت فرآورش بندرامام</t>
  </si>
  <si>
    <t>26/11/93</t>
  </si>
  <si>
    <t>M682</t>
  </si>
  <si>
    <t>27/11/93</t>
  </si>
  <si>
    <t>آریا انرژی البرز</t>
  </si>
  <si>
    <t>05/12/93</t>
  </si>
  <si>
    <t>M683</t>
  </si>
  <si>
    <t>نیروگاه شریعتی مشهد</t>
  </si>
  <si>
    <t>11/12/93</t>
  </si>
  <si>
    <t>شیراز گستر پارس هما</t>
  </si>
  <si>
    <t>M684</t>
  </si>
  <si>
    <t>پتروشیمی خارگ</t>
  </si>
  <si>
    <t>13/12/93</t>
  </si>
  <si>
    <t>M685</t>
  </si>
  <si>
    <t>19/12/93</t>
  </si>
  <si>
    <t>سیمان خزر</t>
  </si>
  <si>
    <t>20/12/93</t>
  </si>
  <si>
    <t>سیمان ایلام</t>
  </si>
  <si>
    <t>23/12/93</t>
  </si>
  <si>
    <t>M687</t>
  </si>
  <si>
    <t>M686</t>
  </si>
  <si>
    <t>24/12/93</t>
  </si>
  <si>
    <t>سیمان ساوه</t>
  </si>
  <si>
    <t>20/01/94</t>
  </si>
  <si>
    <t>M689</t>
  </si>
  <si>
    <t>23/01/94</t>
  </si>
  <si>
    <t>24/01/94</t>
  </si>
  <si>
    <t>M691</t>
  </si>
  <si>
    <t>25/01/94</t>
  </si>
  <si>
    <t>M693</t>
  </si>
  <si>
    <t>30/01/94</t>
  </si>
  <si>
    <t>برفاب</t>
  </si>
  <si>
    <t>نیروگاه نکا</t>
  </si>
  <si>
    <t>پتروشیمی زاگرس</t>
  </si>
  <si>
    <t>31/01/94</t>
  </si>
  <si>
    <t>01/02/94</t>
  </si>
  <si>
    <t>پالایش شازند امام خمینی</t>
  </si>
  <si>
    <t>02/02/94</t>
  </si>
  <si>
    <t>M694</t>
  </si>
  <si>
    <t>06/02/94</t>
  </si>
  <si>
    <t>M695</t>
  </si>
  <si>
    <t>08/02/94</t>
  </si>
  <si>
    <t>M696</t>
  </si>
  <si>
    <t>09/02/94</t>
  </si>
  <si>
    <t>بهره برداری و مدیریت پترو پارس</t>
  </si>
  <si>
    <t>مدیریت بهره برداری پترو پارس</t>
  </si>
  <si>
    <t>مدیریت بهره برداری پتروپارس</t>
  </si>
  <si>
    <t>پتروشیمی مهر</t>
  </si>
  <si>
    <t>14/02/94</t>
  </si>
  <si>
    <t>M697</t>
  </si>
  <si>
    <t>15/02/94</t>
  </si>
  <si>
    <t>پتروشیمی امیرکبیر</t>
  </si>
  <si>
    <t>صنایع شیمیایی</t>
  </si>
  <si>
    <t>16/02/94</t>
  </si>
  <si>
    <t>M698</t>
  </si>
  <si>
    <t>20/02/94</t>
  </si>
  <si>
    <t>M700</t>
  </si>
  <si>
    <t>22/02/94</t>
  </si>
  <si>
    <t>M701</t>
  </si>
  <si>
    <t>23/02/94</t>
  </si>
  <si>
    <t>M702</t>
  </si>
  <si>
    <t>27/02/94</t>
  </si>
  <si>
    <t>28/02/94</t>
  </si>
  <si>
    <t>M704</t>
  </si>
  <si>
    <t>30/02/94</t>
  </si>
  <si>
    <t>M705</t>
  </si>
  <si>
    <t>31/02/94</t>
  </si>
  <si>
    <t>M706</t>
  </si>
  <si>
    <t xml:space="preserve">کیمیا کارسان (رستگار) </t>
  </si>
  <si>
    <t>02/03/94</t>
  </si>
  <si>
    <t>M707</t>
  </si>
  <si>
    <t>03/03/94</t>
  </si>
  <si>
    <t>M708</t>
  </si>
  <si>
    <t>3/03/94</t>
  </si>
  <si>
    <t xml:space="preserve">سیمان کرمان </t>
  </si>
  <si>
    <t>94/03/04</t>
  </si>
  <si>
    <t>بابت انبار گردانی سال 93</t>
  </si>
  <si>
    <t>بابت انبارگردانی 93</t>
  </si>
  <si>
    <t>بابت انبار گردانی 93</t>
  </si>
  <si>
    <t>بابت ابنارگردانی 93</t>
  </si>
  <si>
    <t>بابت انبارگرانی 93</t>
  </si>
  <si>
    <t>06/03/94</t>
  </si>
  <si>
    <t>عودت کالا</t>
  </si>
  <si>
    <t>07/03/94</t>
  </si>
  <si>
    <t>94/03/09</t>
  </si>
  <si>
    <t>M711</t>
  </si>
  <si>
    <t>10/03/94</t>
  </si>
  <si>
    <t>فروشگاه بانژ</t>
  </si>
  <si>
    <t>M712</t>
  </si>
  <si>
    <t>94/03/11</t>
  </si>
  <si>
    <t>11/03/94</t>
  </si>
  <si>
    <t>94/03/12</t>
  </si>
  <si>
    <t>شرکت تهران قطعه</t>
  </si>
  <si>
    <t>12/03/94</t>
  </si>
  <si>
    <t>19.3.94</t>
  </si>
  <si>
    <t>M713</t>
  </si>
  <si>
    <t>20/03/94</t>
  </si>
  <si>
    <t>انرژی کار سپاهان</t>
  </si>
  <si>
    <t>M714</t>
  </si>
  <si>
    <t>20.03.94</t>
  </si>
  <si>
    <t>94/03/27</t>
  </si>
  <si>
    <t>کشت و صنعت سلمان فارسی</t>
  </si>
  <si>
    <t>94/04/01</t>
  </si>
  <si>
    <t>M715</t>
  </si>
  <si>
    <t>94/04/06</t>
  </si>
  <si>
    <t>94/04/08</t>
  </si>
  <si>
    <t>M717</t>
  </si>
  <si>
    <t>94/04/09</t>
  </si>
  <si>
    <t>M719</t>
  </si>
  <si>
    <t>94/04/16</t>
  </si>
  <si>
    <t>M720</t>
  </si>
  <si>
    <t>94/04/21</t>
  </si>
  <si>
    <t>پرین بتن آمود</t>
  </si>
  <si>
    <t>M721</t>
  </si>
  <si>
    <t>94/04/23</t>
  </si>
  <si>
    <t>M722</t>
  </si>
  <si>
    <t>94/04/29</t>
  </si>
  <si>
    <t>نیروگاه شهید رجایی</t>
  </si>
  <si>
    <t>94/05/07</t>
  </si>
  <si>
    <t>تهران دینا</t>
  </si>
  <si>
    <t>07/05/94</t>
  </si>
  <si>
    <t>M724</t>
  </si>
  <si>
    <t>10/05/94</t>
  </si>
  <si>
    <t>94/05/11</t>
  </si>
  <si>
    <t>M725</t>
  </si>
  <si>
    <t>94/05/13</t>
  </si>
  <si>
    <t>امیدی - اهواز</t>
  </si>
  <si>
    <t>M726</t>
  </si>
  <si>
    <t>تولید الیاف مصنوعی DMT</t>
  </si>
  <si>
    <t>B-7580</t>
  </si>
  <si>
    <t>94/05/14</t>
  </si>
  <si>
    <t>94/05/15</t>
  </si>
  <si>
    <t>M729</t>
  </si>
  <si>
    <t>94/05/17</t>
  </si>
  <si>
    <t>94/05/18</t>
  </si>
  <si>
    <t>M730</t>
  </si>
  <si>
    <t>M731</t>
  </si>
  <si>
    <t>94/05/19</t>
  </si>
  <si>
    <t>94/05/21</t>
  </si>
  <si>
    <t>M732</t>
  </si>
  <si>
    <t xml:space="preserve">چوب و کاغذ مازندارن </t>
  </si>
  <si>
    <t>M733</t>
  </si>
  <si>
    <t>24/05/94</t>
  </si>
  <si>
    <t>M734</t>
  </si>
  <si>
    <t>94/05/24</t>
  </si>
  <si>
    <t xml:space="preserve">عودت شده </t>
  </si>
  <si>
    <t>M735</t>
  </si>
  <si>
    <t>94/05/27</t>
  </si>
  <si>
    <t>M738</t>
  </si>
  <si>
    <t>B-7398</t>
  </si>
  <si>
    <t>1212 (450 gr)</t>
  </si>
  <si>
    <t xml:space="preserve">طبق صورت جلسه انبارگردانی </t>
  </si>
  <si>
    <t>94/05/29</t>
  </si>
  <si>
    <t>M739</t>
  </si>
  <si>
    <t>94/05/31</t>
  </si>
  <si>
    <t>94/06/02</t>
  </si>
  <si>
    <t>M740</t>
  </si>
  <si>
    <t>94/06/07</t>
  </si>
  <si>
    <t>M741</t>
  </si>
  <si>
    <t>94/06/08</t>
  </si>
  <si>
    <t>پتروشیمی فرآورش بندرامام</t>
  </si>
  <si>
    <t>M742</t>
  </si>
  <si>
    <t>94/06/11</t>
  </si>
  <si>
    <t>M743</t>
  </si>
  <si>
    <t>94/06/12</t>
  </si>
  <si>
    <t>بهینه فرآیند هیراد</t>
  </si>
  <si>
    <t>سیمان ممتازان کرمان</t>
  </si>
  <si>
    <t xml:space="preserve">سیمان ممتازان کرمان </t>
  </si>
  <si>
    <t>94/06/14</t>
  </si>
  <si>
    <t>94/06/16</t>
  </si>
  <si>
    <t>M744</t>
  </si>
  <si>
    <t>94/06/17</t>
  </si>
  <si>
    <t>94/06/21</t>
  </si>
  <si>
    <t>M745</t>
  </si>
  <si>
    <t>94/06/23</t>
  </si>
  <si>
    <t>94/06/24</t>
  </si>
  <si>
    <t>94/06/25</t>
  </si>
  <si>
    <t>M746</t>
  </si>
  <si>
    <t>94/06/28</t>
  </si>
  <si>
    <t>پتروشیمی شیمی بافت</t>
  </si>
  <si>
    <t>94/06/30</t>
  </si>
  <si>
    <t>M747</t>
  </si>
  <si>
    <t>94/07/01</t>
  </si>
  <si>
    <t>پتروشیمی آریاساسول</t>
  </si>
  <si>
    <t>94/07/07</t>
  </si>
  <si>
    <t>07/07/94</t>
  </si>
  <si>
    <t>94/07/09</t>
  </si>
  <si>
    <t>M750</t>
  </si>
  <si>
    <t>94/07/08</t>
  </si>
  <si>
    <t>94/07/13</t>
  </si>
  <si>
    <t>94/07/16</t>
  </si>
  <si>
    <t>صنایع واکیوم پارس</t>
  </si>
  <si>
    <t>M751</t>
  </si>
  <si>
    <t>94/07/18</t>
  </si>
  <si>
    <t>صنایع شیمیایی ایران</t>
  </si>
  <si>
    <t>94/07/19</t>
  </si>
  <si>
    <t>M752</t>
  </si>
  <si>
    <t>94/07/21</t>
  </si>
  <si>
    <t>پالایشگاه چهارم</t>
  </si>
  <si>
    <t>94/07/23</t>
  </si>
  <si>
    <t>M753</t>
  </si>
  <si>
    <t>94/07/25</t>
  </si>
  <si>
    <t>M754</t>
  </si>
  <si>
    <t>94/07/27</t>
  </si>
  <si>
    <t>M755</t>
  </si>
  <si>
    <t>94/08/03</t>
  </si>
  <si>
    <t>M756</t>
  </si>
  <si>
    <t>94/08/04</t>
  </si>
  <si>
    <t>94/08/09</t>
  </si>
  <si>
    <t>M758</t>
  </si>
  <si>
    <t>94/08/11</t>
  </si>
  <si>
    <t>94/08/12</t>
  </si>
  <si>
    <t>M759</t>
  </si>
  <si>
    <t>94/08/17</t>
  </si>
  <si>
    <t>M760</t>
  </si>
  <si>
    <t>94/08/16</t>
  </si>
  <si>
    <t xml:space="preserve">مهسار ابنیه </t>
  </si>
  <si>
    <t>94/08/18</t>
  </si>
  <si>
    <t>94/08/24</t>
  </si>
  <si>
    <t>M761</t>
  </si>
  <si>
    <t>1111 (5 kg)</t>
  </si>
  <si>
    <t>طبق واردات پرونده B-7743</t>
  </si>
  <si>
    <t>1161 (1 kg)</t>
  </si>
  <si>
    <t>واردات پرونده B-7743</t>
  </si>
  <si>
    <t>طبق واردات B-7743</t>
  </si>
  <si>
    <t>b-7743</t>
  </si>
  <si>
    <t>طبق واردات b-7743</t>
  </si>
  <si>
    <t>1813 (20 kg)</t>
  </si>
  <si>
    <t>94/08/30</t>
  </si>
  <si>
    <t>شرکت بهره برداری سد و نیروگاه مارون</t>
  </si>
  <si>
    <t>94/09/01</t>
  </si>
  <si>
    <t>94/09/04</t>
  </si>
  <si>
    <t>M764</t>
  </si>
  <si>
    <t>شرکت شستا WTD</t>
  </si>
  <si>
    <t>94/09/07</t>
  </si>
  <si>
    <t>M765</t>
  </si>
  <si>
    <t>94/09/08</t>
  </si>
  <si>
    <t>انرژی و کار سپاهان</t>
  </si>
  <si>
    <t>94/09/15</t>
  </si>
  <si>
    <t>M766</t>
  </si>
  <si>
    <t>94/09/16</t>
  </si>
  <si>
    <t>94/09/18</t>
  </si>
  <si>
    <t>نیروگاه اصفهان</t>
  </si>
  <si>
    <t>94/09/22</t>
  </si>
  <si>
    <t>M767</t>
  </si>
  <si>
    <t>94/09/28</t>
  </si>
  <si>
    <t>M768</t>
  </si>
  <si>
    <t>94/09/30</t>
  </si>
  <si>
    <t>پتروشیمی ارومیه</t>
  </si>
  <si>
    <t>M769</t>
  </si>
  <si>
    <t>94/10/01</t>
  </si>
  <si>
    <t>M770</t>
  </si>
  <si>
    <t>94/10/05</t>
  </si>
  <si>
    <t>بابت ابطال ف. 3925</t>
  </si>
  <si>
    <t>فاکتور ابطال می شود. و 4027 ثبت می شود</t>
  </si>
  <si>
    <t>94/10/07</t>
  </si>
  <si>
    <t>M771</t>
  </si>
  <si>
    <t>M772</t>
  </si>
  <si>
    <t>تعداد 12 بدون soldifier می باشد</t>
  </si>
  <si>
    <t xml:space="preserve">طبق صورت جلسه </t>
  </si>
  <si>
    <t xml:space="preserve">تعداد 4 عدد base  اضافه دارد </t>
  </si>
  <si>
    <t>94/10/13</t>
  </si>
  <si>
    <t xml:space="preserve">پتروشیمی خراسان </t>
  </si>
  <si>
    <t>94/10/12</t>
  </si>
  <si>
    <t>94/10/15</t>
  </si>
  <si>
    <t>94/10/20</t>
  </si>
  <si>
    <t>M774</t>
  </si>
  <si>
    <t>94/10/23</t>
  </si>
  <si>
    <t>94/10/26</t>
  </si>
  <si>
    <t>پتروشیمی کاویان</t>
  </si>
  <si>
    <t>94/10/27</t>
  </si>
  <si>
    <t>M775</t>
  </si>
  <si>
    <t>94/10/28</t>
  </si>
  <si>
    <t>M776</t>
  </si>
  <si>
    <t>M777</t>
  </si>
  <si>
    <t>94/11/01</t>
  </si>
  <si>
    <t>M778</t>
  </si>
  <si>
    <t>94/11/05</t>
  </si>
  <si>
    <t>M779</t>
  </si>
  <si>
    <t>M780</t>
  </si>
  <si>
    <t>94/11/06</t>
  </si>
  <si>
    <t>M781</t>
  </si>
  <si>
    <t>M782</t>
  </si>
  <si>
    <t>پتروشیمی رازی</t>
  </si>
  <si>
    <t>94/11/07</t>
  </si>
  <si>
    <t>M783</t>
  </si>
  <si>
    <t>94/11/10</t>
  </si>
  <si>
    <t>M784</t>
  </si>
  <si>
    <t>M785</t>
  </si>
  <si>
    <t>94/11/11</t>
  </si>
  <si>
    <t>شرکت مهندسی و ساخت تأسیسات دریایی</t>
  </si>
  <si>
    <t xml:space="preserve">شرکت فرآورده های نسوز ایران </t>
  </si>
  <si>
    <t>94/11/15</t>
  </si>
  <si>
    <t>M786</t>
  </si>
  <si>
    <t>94/11/18</t>
  </si>
  <si>
    <t>پالایش گاز فجر جم</t>
  </si>
  <si>
    <t>M787</t>
  </si>
  <si>
    <t>M788</t>
  </si>
  <si>
    <t>94/11/20</t>
  </si>
  <si>
    <t>94/11/25</t>
  </si>
  <si>
    <t>M789</t>
  </si>
  <si>
    <t>94/11/26</t>
  </si>
  <si>
    <t>M790</t>
  </si>
  <si>
    <t>94/11/27</t>
  </si>
  <si>
    <t>M792</t>
  </si>
  <si>
    <t>M793</t>
  </si>
  <si>
    <t>94/11/28</t>
  </si>
  <si>
    <t>94/11/29</t>
  </si>
  <si>
    <t>M794</t>
  </si>
  <si>
    <t>94/12/01</t>
  </si>
  <si>
    <t xml:space="preserve">پتروشیمی بسپاران </t>
  </si>
  <si>
    <t>M795</t>
  </si>
  <si>
    <t>94/12/08</t>
  </si>
  <si>
    <t>M796</t>
  </si>
  <si>
    <t>m796</t>
  </si>
  <si>
    <t>94/12/16</t>
  </si>
  <si>
    <t>شرکت فرآب</t>
  </si>
  <si>
    <t>پالایش نفت بندرعباس</t>
  </si>
  <si>
    <t>M797</t>
  </si>
  <si>
    <t xml:space="preserve">کیمیا کارسان </t>
  </si>
  <si>
    <t>94/12/19</t>
  </si>
  <si>
    <t>M798</t>
  </si>
  <si>
    <t>M799</t>
  </si>
  <si>
    <t>94/12/20</t>
  </si>
  <si>
    <t>M800</t>
  </si>
  <si>
    <t>94/12/25</t>
  </si>
  <si>
    <t>M801</t>
  </si>
  <si>
    <t>95/01/15</t>
  </si>
  <si>
    <t xml:space="preserve">شرکت راه اندازی و بهره برداری صنایع نفت </t>
  </si>
  <si>
    <t>95/01/16</t>
  </si>
  <si>
    <t>M802</t>
  </si>
  <si>
    <t>95/01/21</t>
  </si>
  <si>
    <t>M803</t>
  </si>
  <si>
    <t>95/01/23</t>
  </si>
  <si>
    <t>M804</t>
  </si>
  <si>
    <t>صادق بارانی - شیراز</t>
  </si>
  <si>
    <t>95/01/24</t>
  </si>
  <si>
    <t>95/01/25</t>
  </si>
  <si>
    <t>M805</t>
  </si>
  <si>
    <t>29/01/95</t>
  </si>
  <si>
    <t>M806</t>
  </si>
  <si>
    <t xml:space="preserve">شرکت شید آرین کیش </t>
  </si>
  <si>
    <t>95/01/30</t>
  </si>
  <si>
    <t xml:space="preserve">آب و نیرو </t>
  </si>
  <si>
    <t>95/02/01</t>
  </si>
  <si>
    <t>M807</t>
  </si>
  <si>
    <t>M808</t>
  </si>
  <si>
    <t>95/01/31</t>
  </si>
  <si>
    <t xml:space="preserve">مدیریت تولید برق اصفهان </t>
  </si>
  <si>
    <t>سیمان آرتا اردبیل</t>
  </si>
  <si>
    <t>95/02/05</t>
  </si>
  <si>
    <t>M809</t>
  </si>
  <si>
    <t>95/02/09</t>
  </si>
  <si>
    <t>M810</t>
  </si>
  <si>
    <t xml:space="preserve">پتروشیمی ارومیه </t>
  </si>
  <si>
    <t xml:space="preserve">نیروگاه شازند اراک </t>
  </si>
  <si>
    <t>95/02/11</t>
  </si>
  <si>
    <t>95/02/13</t>
  </si>
  <si>
    <t>M811</t>
  </si>
  <si>
    <t>M812</t>
  </si>
  <si>
    <t>95/02/18</t>
  </si>
  <si>
    <t>M813</t>
  </si>
  <si>
    <t>95/02/25</t>
  </si>
  <si>
    <t>M814</t>
  </si>
  <si>
    <t>95/02/29</t>
  </si>
  <si>
    <t>M815</t>
  </si>
  <si>
    <t>شرکت اتحاد بندر</t>
  </si>
  <si>
    <t>شرکت آبفای مشهد</t>
  </si>
  <si>
    <t>شرکت مولد برق یزد</t>
  </si>
  <si>
    <t>95/03/03</t>
  </si>
  <si>
    <t>95/03/06</t>
  </si>
  <si>
    <t>M816</t>
  </si>
  <si>
    <t>95/03/10</t>
  </si>
  <si>
    <t>M817</t>
  </si>
  <si>
    <t>95/03/16</t>
  </si>
  <si>
    <t>M818</t>
  </si>
  <si>
    <t>M819</t>
  </si>
  <si>
    <t>M820</t>
  </si>
  <si>
    <t>95/03</t>
  </si>
  <si>
    <t>B-7897</t>
  </si>
  <si>
    <t>واردات پرونده B-7897</t>
  </si>
  <si>
    <t>1593 (3 Kg)</t>
  </si>
  <si>
    <t>طبق واردات پرونده B-7897</t>
  </si>
  <si>
    <t>طبق واردات B-7897</t>
  </si>
  <si>
    <t>95/03/12</t>
  </si>
  <si>
    <t>خوارزمی بندر امام</t>
  </si>
  <si>
    <t>95/03/17</t>
  </si>
  <si>
    <t>شرکت پیشگام فراصنعت</t>
  </si>
  <si>
    <t>95/03/18</t>
  </si>
  <si>
    <t>95/03/19</t>
  </si>
  <si>
    <t>M821</t>
  </si>
  <si>
    <t>95/03/22</t>
  </si>
  <si>
    <t>M822</t>
  </si>
  <si>
    <t>شویدی</t>
  </si>
  <si>
    <t>95/03/23</t>
  </si>
  <si>
    <t>M823</t>
  </si>
  <si>
    <t>نفت و گاز زاگرس جنوبی</t>
  </si>
  <si>
    <t>زاگرس جنوبی</t>
  </si>
  <si>
    <t>M824</t>
  </si>
  <si>
    <t>95/03/25</t>
  </si>
  <si>
    <t>95/03/29</t>
  </si>
  <si>
    <t>M825</t>
  </si>
  <si>
    <t>95/03/31</t>
  </si>
  <si>
    <t>M826</t>
  </si>
  <si>
    <t xml:space="preserve">دانشور - مشهد </t>
  </si>
  <si>
    <t>M827</t>
  </si>
  <si>
    <t>دانشور - مشهد</t>
  </si>
  <si>
    <t>95/04/02</t>
  </si>
  <si>
    <t>M828</t>
  </si>
  <si>
    <t>فلاح - بافق یزد</t>
  </si>
  <si>
    <t>95/04/05</t>
  </si>
  <si>
    <t>M829</t>
  </si>
  <si>
    <t>95/04/06</t>
  </si>
  <si>
    <t>M830</t>
  </si>
  <si>
    <t>95/04/08</t>
  </si>
  <si>
    <t>M831</t>
  </si>
  <si>
    <t xml:space="preserve">سرمایه گذاری و توسعه صنایع لاستیک </t>
  </si>
  <si>
    <t>95/04/12</t>
  </si>
  <si>
    <t>M832</t>
  </si>
  <si>
    <t>M833</t>
  </si>
  <si>
    <t>95/04/09</t>
  </si>
  <si>
    <t>95/04/20</t>
  </si>
  <si>
    <t>M835</t>
  </si>
  <si>
    <t>95/04/23</t>
  </si>
  <si>
    <t xml:space="preserve">شرکت آب نیرو </t>
  </si>
  <si>
    <t>95/04/21</t>
  </si>
  <si>
    <t>95/04/30</t>
  </si>
  <si>
    <t>پتروشیمی کارون</t>
  </si>
  <si>
    <t xml:space="preserve">پتروشیمی کارون </t>
  </si>
  <si>
    <t>95/04/28</t>
  </si>
  <si>
    <t>پتروشیمی بسپاران</t>
  </si>
  <si>
    <t>95/04/26</t>
  </si>
  <si>
    <t>پتروشیمی شازند</t>
  </si>
  <si>
    <t>95/04/14</t>
  </si>
  <si>
    <t>M834</t>
  </si>
  <si>
    <t>95/05/05</t>
  </si>
  <si>
    <t>M837</t>
  </si>
  <si>
    <t>95/05/10</t>
  </si>
  <si>
    <t xml:space="preserve">آتیه گیلاب صنعت </t>
  </si>
  <si>
    <t>95/05/11</t>
  </si>
  <si>
    <t>95/05/12</t>
  </si>
  <si>
    <t>M838</t>
  </si>
  <si>
    <t>M839</t>
  </si>
  <si>
    <t>95/05/16</t>
  </si>
  <si>
    <t>M840</t>
  </si>
  <si>
    <t>فرآورده های نسوز</t>
  </si>
  <si>
    <t>95/05/17</t>
  </si>
  <si>
    <t>M841</t>
  </si>
  <si>
    <t>95/05/18</t>
  </si>
  <si>
    <t xml:space="preserve">پالایش گاز سرخون و قشم </t>
  </si>
  <si>
    <t>95/05/26</t>
  </si>
  <si>
    <t>95/05/31</t>
  </si>
  <si>
    <t xml:space="preserve">آرمین صنعت گستران </t>
  </si>
  <si>
    <t xml:space="preserve">95/05/31 </t>
  </si>
  <si>
    <t>95/06/03</t>
  </si>
  <si>
    <t>M842</t>
  </si>
  <si>
    <t>95/06/02</t>
  </si>
  <si>
    <t>95/06/11</t>
  </si>
  <si>
    <t>پتروشیمی رجال</t>
  </si>
  <si>
    <t>95/06/13</t>
  </si>
  <si>
    <t>M845</t>
  </si>
  <si>
    <t>پترو ابزار موسوی</t>
  </si>
  <si>
    <t>پترو ابزار - موسوی</t>
  </si>
  <si>
    <t>95/06/15</t>
  </si>
  <si>
    <t>M846</t>
  </si>
  <si>
    <t>95/06/10</t>
  </si>
  <si>
    <t>95/06/16</t>
  </si>
  <si>
    <t>M847</t>
  </si>
  <si>
    <t>95/06/20</t>
  </si>
  <si>
    <t>M849</t>
  </si>
  <si>
    <t>95/06/23</t>
  </si>
  <si>
    <t>M850</t>
  </si>
  <si>
    <t>95/06/28</t>
  </si>
  <si>
    <t xml:space="preserve">شید آرین کیش </t>
  </si>
  <si>
    <t>95/06/29</t>
  </si>
  <si>
    <t>M851</t>
  </si>
  <si>
    <t>95/06/31</t>
  </si>
  <si>
    <t>M852</t>
  </si>
  <si>
    <t xml:space="preserve">ابزار آسیا - مداحی </t>
  </si>
  <si>
    <t>95/07/06</t>
  </si>
  <si>
    <t>M854</t>
  </si>
  <si>
    <t>پیشگامان صنایع آسیا</t>
  </si>
  <si>
    <t>M855</t>
  </si>
  <si>
    <t>M856</t>
  </si>
  <si>
    <t>M857</t>
  </si>
  <si>
    <t>95/07/11</t>
  </si>
  <si>
    <t>M858</t>
  </si>
  <si>
    <t>95/07/12</t>
  </si>
  <si>
    <t>95/07/13</t>
  </si>
  <si>
    <t>M859</t>
  </si>
  <si>
    <t>95/07/19</t>
  </si>
  <si>
    <t>M860</t>
  </si>
  <si>
    <t>M861</t>
  </si>
  <si>
    <t>95/07/24</t>
  </si>
  <si>
    <t>M862</t>
  </si>
  <si>
    <t xml:space="preserve">سیمان ارومیه </t>
  </si>
  <si>
    <t>95/07/18</t>
  </si>
  <si>
    <t xml:space="preserve">آب نیرو </t>
  </si>
  <si>
    <t>95/08/02</t>
  </si>
  <si>
    <t>M863</t>
  </si>
  <si>
    <t>M864</t>
  </si>
  <si>
    <t xml:space="preserve">تولید برق شازند </t>
  </si>
  <si>
    <t>95/07/28</t>
  </si>
  <si>
    <t>همراه صنعت توس</t>
  </si>
  <si>
    <t>95/08/05</t>
  </si>
  <si>
    <t>M865</t>
  </si>
  <si>
    <t>95/08/08</t>
  </si>
  <si>
    <t>M866</t>
  </si>
  <si>
    <t>M867</t>
  </si>
  <si>
    <t>95/08/09</t>
  </si>
  <si>
    <t>نفت و گاز پارس</t>
  </si>
  <si>
    <t xml:space="preserve">بهره برداری سد نیروگاه کرخه </t>
  </si>
  <si>
    <t>95/08/10</t>
  </si>
  <si>
    <t>M868</t>
  </si>
  <si>
    <t>95/08/16</t>
  </si>
  <si>
    <t>M869</t>
  </si>
  <si>
    <t>95/08/11</t>
  </si>
  <si>
    <t xml:space="preserve">آرمان نیروی سبلان </t>
  </si>
  <si>
    <t>95/08/17</t>
  </si>
  <si>
    <t>M870</t>
  </si>
  <si>
    <t>95/08/19</t>
  </si>
  <si>
    <t>M871</t>
  </si>
  <si>
    <t>پتروشیمی پارس</t>
  </si>
  <si>
    <t>95/08/22</t>
  </si>
  <si>
    <t xml:space="preserve">آریا نفت شهاب </t>
  </si>
  <si>
    <t>95/08/24</t>
  </si>
  <si>
    <t>M874</t>
  </si>
  <si>
    <t>95/08/25</t>
  </si>
  <si>
    <t>M876</t>
  </si>
  <si>
    <t>نفت و گاز شرق</t>
  </si>
  <si>
    <t>M877</t>
  </si>
  <si>
    <t>95/08/26</t>
  </si>
  <si>
    <t>95/09/04</t>
  </si>
  <si>
    <t>M878</t>
  </si>
  <si>
    <t>95/09/07</t>
  </si>
  <si>
    <t>M879</t>
  </si>
  <si>
    <t>M880</t>
  </si>
  <si>
    <t>95/09/13</t>
  </si>
  <si>
    <t>M881</t>
  </si>
  <si>
    <t>95/09/15</t>
  </si>
  <si>
    <t>M882</t>
  </si>
  <si>
    <t xml:space="preserve">فروسیلیس ایران </t>
  </si>
  <si>
    <t>M883</t>
  </si>
  <si>
    <t>95/09/17</t>
  </si>
  <si>
    <t>M884</t>
  </si>
  <si>
    <t>95/09/25</t>
  </si>
  <si>
    <t>M885</t>
  </si>
  <si>
    <t>95/09/22</t>
  </si>
  <si>
    <t>95/09/28</t>
  </si>
  <si>
    <t>M886</t>
  </si>
  <si>
    <t>95/09/29</t>
  </si>
  <si>
    <t>M887</t>
  </si>
  <si>
    <t>95/09/30</t>
  </si>
  <si>
    <t>M888</t>
  </si>
  <si>
    <t xml:space="preserve">علی پور - پیشگامان </t>
  </si>
  <si>
    <t>95/10/04</t>
  </si>
  <si>
    <t>M889</t>
  </si>
  <si>
    <t>95/10/07</t>
  </si>
  <si>
    <t>95/10/08</t>
  </si>
  <si>
    <t xml:space="preserve">فلات قاره </t>
  </si>
  <si>
    <t>95/10/11</t>
  </si>
  <si>
    <t>M890</t>
  </si>
  <si>
    <t>95/10/15</t>
  </si>
  <si>
    <t>M892</t>
  </si>
  <si>
    <t>95/10/16</t>
  </si>
  <si>
    <t>M893</t>
  </si>
  <si>
    <t>95/10/18</t>
  </si>
  <si>
    <t>95/10/23</t>
  </si>
  <si>
    <t>M894</t>
  </si>
  <si>
    <t>M895</t>
  </si>
  <si>
    <t>95/10/25</t>
  </si>
  <si>
    <t>M896</t>
  </si>
  <si>
    <t>95/10/28</t>
  </si>
  <si>
    <t xml:space="preserve">بازرگانی پارس صنعت </t>
  </si>
  <si>
    <t>M897</t>
  </si>
  <si>
    <t>95/11/04</t>
  </si>
  <si>
    <t>95/11/06</t>
  </si>
  <si>
    <t>M898</t>
  </si>
  <si>
    <t>95/11/03</t>
  </si>
  <si>
    <t>95/11/09</t>
  </si>
  <si>
    <t>M899</t>
  </si>
  <si>
    <t>95/11/10</t>
  </si>
  <si>
    <t>95/11/14</t>
  </si>
  <si>
    <t>M900</t>
  </si>
  <si>
    <t>95/11/17</t>
  </si>
  <si>
    <t>M901</t>
  </si>
  <si>
    <t>95/11/13</t>
  </si>
  <si>
    <t>پتروشیمی بندرامام</t>
  </si>
  <si>
    <t>95/11/19</t>
  </si>
  <si>
    <t>M903</t>
  </si>
  <si>
    <t>95/11/23</t>
  </si>
  <si>
    <t>M904</t>
  </si>
  <si>
    <t>95/11/24</t>
  </si>
  <si>
    <t>بهره برداری نیروگاه کرخه</t>
  </si>
  <si>
    <t>95/11/27</t>
  </si>
  <si>
    <t>M905</t>
  </si>
  <si>
    <t>M906</t>
  </si>
  <si>
    <t xml:space="preserve">نیروگاه اصفهان </t>
  </si>
  <si>
    <t>95/11/30</t>
  </si>
  <si>
    <t>95/12/01</t>
  </si>
  <si>
    <t xml:space="preserve">پتروشیمی مبین </t>
  </si>
  <si>
    <t>پتروشیمی مبین</t>
  </si>
  <si>
    <t>95/12/05</t>
  </si>
  <si>
    <t>M908</t>
  </si>
  <si>
    <t>95/12/03</t>
  </si>
  <si>
    <t>95/12/07</t>
  </si>
  <si>
    <t>M909</t>
  </si>
  <si>
    <t>95/12/08</t>
  </si>
  <si>
    <t>M910</t>
  </si>
  <si>
    <t>M911</t>
  </si>
  <si>
    <t>95/12/09</t>
  </si>
  <si>
    <t xml:space="preserve">عودت به انبار </t>
  </si>
  <si>
    <t>ورود به انبار</t>
  </si>
  <si>
    <t>95/12/11</t>
  </si>
  <si>
    <t>M912</t>
  </si>
  <si>
    <t>95/12/10</t>
  </si>
  <si>
    <t>95/12/16</t>
  </si>
  <si>
    <t>M913</t>
  </si>
  <si>
    <t>95/12/19</t>
  </si>
  <si>
    <t>M914</t>
  </si>
  <si>
    <t>95/12/22</t>
  </si>
  <si>
    <t xml:space="preserve">پالایش نفت اصفهان </t>
  </si>
  <si>
    <t>95/12/23</t>
  </si>
  <si>
    <t>M915</t>
  </si>
  <si>
    <t>95/12/24</t>
  </si>
  <si>
    <t>M916</t>
  </si>
  <si>
    <t xml:space="preserve">فراساحل کیش </t>
  </si>
  <si>
    <t>M917</t>
  </si>
  <si>
    <t>96/01/14</t>
  </si>
  <si>
    <t>M919</t>
  </si>
  <si>
    <t>96/01/08</t>
  </si>
  <si>
    <t xml:space="preserve">مدیریت تولید برق منتظری اصفهان </t>
  </si>
  <si>
    <t>96/01/16</t>
  </si>
  <si>
    <t>M921</t>
  </si>
  <si>
    <t>96/01/17</t>
  </si>
  <si>
    <t>M922</t>
  </si>
  <si>
    <t>M923</t>
  </si>
  <si>
    <t>96/01/27</t>
  </si>
  <si>
    <t>96/01/28</t>
  </si>
  <si>
    <t>96/01/29</t>
  </si>
  <si>
    <t>M924</t>
  </si>
  <si>
    <t>96/02/02</t>
  </si>
  <si>
    <t>حدید صنعت پالایش سپاهان</t>
  </si>
  <si>
    <t>M926</t>
  </si>
  <si>
    <t>96/02/06</t>
  </si>
  <si>
    <t>M927</t>
  </si>
  <si>
    <t>M928</t>
  </si>
  <si>
    <t>96/02/09</t>
  </si>
  <si>
    <t>M929</t>
  </si>
  <si>
    <t>M930</t>
  </si>
  <si>
    <t>96/02/16</t>
  </si>
  <si>
    <t>M931</t>
  </si>
  <si>
    <t>M932</t>
  </si>
  <si>
    <t>96/02/19</t>
  </si>
  <si>
    <t>M933</t>
  </si>
  <si>
    <t>96/02/17</t>
  </si>
  <si>
    <t>96/02/23</t>
  </si>
  <si>
    <t xml:space="preserve">نمونه </t>
  </si>
  <si>
    <t>بابت کارگاه آموزشی در پالایشگاه ستاره خلیج فارس</t>
  </si>
  <si>
    <t>96/02/27</t>
  </si>
  <si>
    <t>M934</t>
  </si>
  <si>
    <t>96/02/24</t>
  </si>
  <si>
    <t>96/02/26</t>
  </si>
  <si>
    <t>مصباح انرژی</t>
  </si>
  <si>
    <t>96/02/31</t>
  </si>
  <si>
    <t>96/03/02</t>
  </si>
  <si>
    <t>M935</t>
  </si>
  <si>
    <t>96/03/03</t>
  </si>
  <si>
    <t>واردات B-8107</t>
  </si>
  <si>
    <t>واردات پرونده B-8107</t>
  </si>
  <si>
    <t>M936</t>
  </si>
  <si>
    <t>96/03/06</t>
  </si>
  <si>
    <t>آقای اسماعیل پور</t>
  </si>
  <si>
    <t>M937</t>
  </si>
  <si>
    <t>سیمان بهبهان</t>
  </si>
  <si>
    <t>سیمان سفید نیریز</t>
  </si>
  <si>
    <t>96/03/10</t>
  </si>
  <si>
    <t>M938</t>
  </si>
  <si>
    <t>96/03/09</t>
  </si>
  <si>
    <t>شرکت آب نیرو</t>
  </si>
  <si>
    <t>96/03/17</t>
  </si>
  <si>
    <t>M939</t>
  </si>
  <si>
    <t>96/03/18</t>
  </si>
  <si>
    <t>96/03/21</t>
  </si>
  <si>
    <t>M940</t>
  </si>
  <si>
    <t>94/11/24</t>
  </si>
  <si>
    <t>94/08/06</t>
  </si>
  <si>
    <t>M757</t>
  </si>
  <si>
    <t>96/03/22</t>
  </si>
  <si>
    <t>M941</t>
  </si>
  <si>
    <t>96/03/23</t>
  </si>
  <si>
    <t>M942</t>
  </si>
  <si>
    <t>96/03/20</t>
  </si>
  <si>
    <t>بهسازان صنایع خاورمیانه/ فولاد مب</t>
  </si>
  <si>
    <t>ماشین رود پارس اراک</t>
  </si>
  <si>
    <t xml:space="preserve">شرکت بهره برداری سد و نیروگاه مارون </t>
  </si>
  <si>
    <t xml:space="preserve">تهیه و تولید مواد نسوز کشور </t>
  </si>
  <si>
    <t>96/03/24</t>
  </si>
  <si>
    <t>پترو کیمیای ابن سینا</t>
  </si>
  <si>
    <t>M943</t>
  </si>
  <si>
    <t>96/03/27</t>
  </si>
  <si>
    <t>M944</t>
  </si>
  <si>
    <t>96/03/28</t>
  </si>
  <si>
    <t xml:space="preserve">جایگزین </t>
  </si>
  <si>
    <t>M945</t>
  </si>
  <si>
    <t>96/04/04</t>
  </si>
  <si>
    <t>M946</t>
  </si>
  <si>
    <t>M947</t>
  </si>
  <si>
    <t xml:space="preserve">یک عدد کسری بابت گمرک </t>
  </si>
  <si>
    <t xml:space="preserve">بابت کسری گمرک </t>
  </si>
  <si>
    <t>بابت فاکتور سرخون و قشم به شماره 4285</t>
  </si>
  <si>
    <t>بابت فاکتور سرخون و قشم شماره 4285</t>
  </si>
  <si>
    <t>96/03/30</t>
  </si>
  <si>
    <t xml:space="preserve">صنایع شیمیایی ایران </t>
  </si>
  <si>
    <t xml:space="preserve">اداره گاز تربت حیدریه </t>
  </si>
  <si>
    <t>96/03/31</t>
  </si>
  <si>
    <t xml:space="preserve">حدید صنعت </t>
  </si>
  <si>
    <t xml:space="preserve">سیمان قشم </t>
  </si>
  <si>
    <t>96/04/07</t>
  </si>
  <si>
    <t>M948</t>
  </si>
  <si>
    <t>96/04/10</t>
  </si>
  <si>
    <t>M949</t>
  </si>
  <si>
    <t>96/04/11</t>
  </si>
  <si>
    <t>M950</t>
  </si>
  <si>
    <t>M951</t>
  </si>
  <si>
    <t xml:space="preserve">فولاد ماهان سپاهان </t>
  </si>
  <si>
    <t>96/04/17</t>
  </si>
  <si>
    <t>M952</t>
  </si>
  <si>
    <t>96/04/18</t>
  </si>
  <si>
    <t>M953</t>
  </si>
  <si>
    <t>96/04/19</t>
  </si>
  <si>
    <t>96/04/14</t>
  </si>
  <si>
    <t xml:space="preserve">نفت و گاز گچساران </t>
  </si>
  <si>
    <t>پالایش نفت شیراز</t>
  </si>
  <si>
    <t>96/04/25</t>
  </si>
  <si>
    <t>M954</t>
  </si>
  <si>
    <t>96/04/20</t>
  </si>
  <si>
    <t>96/04/27</t>
  </si>
  <si>
    <t xml:space="preserve">سایپا سیتروئن </t>
  </si>
  <si>
    <t>96/04/28</t>
  </si>
  <si>
    <t>96/05/01</t>
  </si>
  <si>
    <t>96/05/03</t>
  </si>
  <si>
    <t xml:space="preserve">خطوط لوله و مخابرات نفت ایران-اصفهان </t>
  </si>
  <si>
    <t xml:space="preserve">صنایع ریخته گری اصفهان </t>
  </si>
  <si>
    <t>96/05/04</t>
  </si>
  <si>
    <t xml:space="preserve">شرکت آرین تخته </t>
  </si>
  <si>
    <t xml:space="preserve">پالایش نفت تهران </t>
  </si>
  <si>
    <t>96/05/08</t>
  </si>
  <si>
    <t>96/05/11</t>
  </si>
  <si>
    <t xml:space="preserve">پالایش گاز سرخون وقشم </t>
  </si>
  <si>
    <t>96/05/15</t>
  </si>
  <si>
    <t>M955</t>
  </si>
  <si>
    <t>96/05/18</t>
  </si>
  <si>
    <t>صنایع مس باهنر</t>
  </si>
  <si>
    <t>96/05/17</t>
  </si>
  <si>
    <t>شید آرین کیش</t>
  </si>
  <si>
    <t xml:space="preserve">پالایش نفت سپاهان </t>
  </si>
  <si>
    <t>96/05/22</t>
  </si>
  <si>
    <t>M956</t>
  </si>
  <si>
    <t>B-8917</t>
  </si>
  <si>
    <t xml:space="preserve">پایانه های نفتی خارکو </t>
  </si>
  <si>
    <t>در سال 95 اعمال نشده بوده</t>
  </si>
  <si>
    <t>طبق صورت جلسه مورخ 96/05/30</t>
  </si>
  <si>
    <t>96/05/30</t>
  </si>
  <si>
    <t>آقای خیاط</t>
  </si>
  <si>
    <t>M957</t>
  </si>
  <si>
    <t>M958</t>
  </si>
  <si>
    <t>96/05/31</t>
  </si>
  <si>
    <t>M959</t>
  </si>
  <si>
    <t>96/05/25</t>
  </si>
  <si>
    <t>96/05/28</t>
  </si>
  <si>
    <t xml:space="preserve">پتروشیمی اصفهان </t>
  </si>
  <si>
    <t>96/05/26</t>
  </si>
  <si>
    <t xml:space="preserve">موسسه شهید محلاتی </t>
  </si>
  <si>
    <t>M960</t>
  </si>
  <si>
    <t>96/06/04</t>
  </si>
  <si>
    <t>M961</t>
  </si>
  <si>
    <t>فرانگر زرفام</t>
  </si>
  <si>
    <t>M962</t>
  </si>
  <si>
    <t>96/06/07</t>
  </si>
  <si>
    <t>M963</t>
  </si>
  <si>
    <t>96/06/05</t>
  </si>
  <si>
    <t>96/06/09</t>
  </si>
  <si>
    <t xml:space="preserve">شرکت نفت پاسارگاد </t>
  </si>
  <si>
    <t>96/06/13</t>
  </si>
  <si>
    <t>M964</t>
  </si>
  <si>
    <t>96/06/14</t>
  </si>
  <si>
    <t>M965</t>
  </si>
  <si>
    <t>96/06/15</t>
  </si>
  <si>
    <t>M966</t>
  </si>
  <si>
    <t>چوب و کاغذ ایران</t>
  </si>
  <si>
    <t>96/06/23</t>
  </si>
  <si>
    <t>M967</t>
  </si>
  <si>
    <t>M968</t>
  </si>
  <si>
    <t>96/06/25</t>
  </si>
  <si>
    <t>96/06/26</t>
  </si>
  <si>
    <t>96/06/27</t>
  </si>
  <si>
    <t>96/07/01</t>
  </si>
  <si>
    <t>96/06/28</t>
  </si>
  <si>
    <t xml:space="preserve">پتروشیمی اروند </t>
  </si>
  <si>
    <t>96/06/30</t>
  </si>
  <si>
    <t>96/07/02</t>
  </si>
  <si>
    <t xml:space="preserve">فولاد کوهپایه </t>
  </si>
  <si>
    <t>96/07/03</t>
  </si>
  <si>
    <t>M969</t>
  </si>
  <si>
    <t>M970</t>
  </si>
  <si>
    <t>M971</t>
  </si>
  <si>
    <t>96/07/05</t>
  </si>
  <si>
    <t xml:space="preserve">مورکانی </t>
  </si>
  <si>
    <t>M972</t>
  </si>
  <si>
    <t>96/07/11</t>
  </si>
  <si>
    <t>M974</t>
  </si>
  <si>
    <t xml:space="preserve">پالایش نفت جی </t>
  </si>
  <si>
    <t xml:space="preserve">پتروشیمی کاویان </t>
  </si>
  <si>
    <t>96/07/10</t>
  </si>
  <si>
    <t xml:space="preserve">مدیریت بهره برداری سد و نیروگاه کارون 3 </t>
  </si>
  <si>
    <t>پتروشیمی لاله</t>
  </si>
  <si>
    <t xml:space="preserve">الیاف مصنوعی </t>
  </si>
  <si>
    <t>96/07/16</t>
  </si>
  <si>
    <t>M975</t>
  </si>
  <si>
    <t>96/07/18</t>
  </si>
  <si>
    <t>M976</t>
  </si>
  <si>
    <t>96/07/15</t>
  </si>
  <si>
    <t>البرز پترو ایده توس</t>
  </si>
  <si>
    <t>96/07/17</t>
  </si>
  <si>
    <t>خدمات انفورماتیک کیش</t>
  </si>
  <si>
    <t>96/07/19</t>
  </si>
  <si>
    <t xml:space="preserve">پتروشیمی پردیس </t>
  </si>
  <si>
    <t>96/07/23</t>
  </si>
  <si>
    <t>M977</t>
  </si>
  <si>
    <t>96/07/27</t>
  </si>
  <si>
    <t>M978</t>
  </si>
  <si>
    <t>96/07/30</t>
  </si>
  <si>
    <t>M979</t>
  </si>
  <si>
    <t xml:space="preserve">خ برادران رحیمی </t>
  </si>
  <si>
    <t>M980</t>
  </si>
  <si>
    <t>96/08/01</t>
  </si>
  <si>
    <t>M981</t>
  </si>
  <si>
    <t>96/08/02</t>
  </si>
  <si>
    <t>M982</t>
  </si>
  <si>
    <t>فاکتور 4681 ابطال شد . ف اصلاحیه 4788</t>
  </si>
  <si>
    <t>فاکتور 4681 ابطال شد. اصلاحیه 4788</t>
  </si>
  <si>
    <t>96/08/06</t>
  </si>
  <si>
    <t>M983</t>
  </si>
  <si>
    <t>96/08/07</t>
  </si>
  <si>
    <t xml:space="preserve">شرکت ملی نفتکش ایران </t>
  </si>
  <si>
    <t>96/08/09</t>
  </si>
  <si>
    <t>M984</t>
  </si>
  <si>
    <t>96/07/29</t>
  </si>
  <si>
    <t>B-8233</t>
  </si>
  <si>
    <t>96/08/10</t>
  </si>
  <si>
    <t>96/08/15</t>
  </si>
  <si>
    <t>M985</t>
  </si>
  <si>
    <t>M986</t>
  </si>
  <si>
    <t>96/08/14</t>
  </si>
  <si>
    <t>مدیریت تولید برق منتظری</t>
  </si>
  <si>
    <t>96/08/16</t>
  </si>
  <si>
    <t>پارس پایا فراز</t>
  </si>
  <si>
    <t>96/08/17</t>
  </si>
  <si>
    <t>M987</t>
  </si>
  <si>
    <t>M988</t>
  </si>
  <si>
    <t>کیمیا کارسان</t>
  </si>
  <si>
    <t>96/08/24</t>
  </si>
  <si>
    <t>M990</t>
  </si>
  <si>
    <t xml:space="preserve">سیمان مدائن </t>
  </si>
  <si>
    <t>96/08/27</t>
  </si>
  <si>
    <t>96/08/29</t>
  </si>
  <si>
    <t>96/09/01</t>
  </si>
  <si>
    <t>M991</t>
  </si>
  <si>
    <t>96/09/02</t>
  </si>
  <si>
    <t>M992</t>
  </si>
  <si>
    <t xml:space="preserve">شرکت رامپکو </t>
  </si>
  <si>
    <t>96/09/04</t>
  </si>
  <si>
    <t xml:space="preserve">بهره برداری نفت و گاز گچساران </t>
  </si>
  <si>
    <t>96/09/07</t>
  </si>
  <si>
    <t xml:space="preserve">تهران قطعه </t>
  </si>
  <si>
    <t>96/09/12</t>
  </si>
  <si>
    <t>M994</t>
  </si>
  <si>
    <t>96/09/08</t>
  </si>
  <si>
    <t xml:space="preserve">نفت فلات قاره </t>
  </si>
  <si>
    <t>96/09/14</t>
  </si>
  <si>
    <t>M996</t>
  </si>
  <si>
    <t>96/09/16</t>
  </si>
  <si>
    <t>طبق واردات پرونده B-12024</t>
  </si>
  <si>
    <t xml:space="preserve">امارات </t>
  </si>
  <si>
    <t>طبق واردات B-8728</t>
  </si>
  <si>
    <t>واردات پرونده B-8728</t>
  </si>
  <si>
    <t>طبق واردات پرونده B-8728</t>
  </si>
  <si>
    <t xml:space="preserve">نیروگاه شریعتی مشهد </t>
  </si>
  <si>
    <t xml:space="preserve">شرکت انتقال گاز ایران </t>
  </si>
  <si>
    <t>96/09/20</t>
  </si>
  <si>
    <t>M998</t>
  </si>
  <si>
    <t xml:space="preserve">حاتمی - کاد ایران </t>
  </si>
  <si>
    <t>96/09/21</t>
  </si>
  <si>
    <t>M999</t>
  </si>
  <si>
    <t>96/09/23</t>
  </si>
  <si>
    <t>M1000</t>
  </si>
  <si>
    <t>M1001</t>
  </si>
  <si>
    <t>96/09/22</t>
  </si>
  <si>
    <t>نساجی مانریس</t>
  </si>
  <si>
    <t>96/09/25</t>
  </si>
  <si>
    <t xml:space="preserve">پتروشیمی دماوند </t>
  </si>
  <si>
    <t>B-12053</t>
  </si>
  <si>
    <t>96/09/27</t>
  </si>
  <si>
    <t>شرکت خمیرکاغذ اترک</t>
  </si>
  <si>
    <t>توسعه صنایع کاربردی جنوب</t>
  </si>
  <si>
    <t xml:space="preserve">پشتیبانی امور دام استان تهران </t>
  </si>
  <si>
    <t>96/09/28</t>
  </si>
  <si>
    <t>M1003</t>
  </si>
  <si>
    <t xml:space="preserve">تعداد 2 ست کسری </t>
  </si>
  <si>
    <t xml:space="preserve"> پالایش نفت امام خمینی شازند </t>
  </si>
  <si>
    <t>96/10/06</t>
  </si>
  <si>
    <t>M1004</t>
  </si>
  <si>
    <t>96/10/03</t>
  </si>
  <si>
    <t>96/10/07</t>
  </si>
  <si>
    <t>96/10/09</t>
  </si>
  <si>
    <t>96/10/10</t>
  </si>
  <si>
    <t>M1005</t>
  </si>
  <si>
    <t>96/10/11</t>
  </si>
  <si>
    <t>M1006</t>
  </si>
  <si>
    <t>96/10/13</t>
  </si>
  <si>
    <t>پتروشیمی بندر امام</t>
  </si>
  <si>
    <t>96/10/18</t>
  </si>
  <si>
    <t>M1009</t>
  </si>
  <si>
    <t>96/10/20</t>
  </si>
  <si>
    <t>M1010</t>
  </si>
  <si>
    <t>96/10/23</t>
  </si>
  <si>
    <t>M1012</t>
  </si>
  <si>
    <t>96/10/24</t>
  </si>
  <si>
    <t>M1013</t>
  </si>
  <si>
    <t>96/10/25</t>
  </si>
  <si>
    <t>M1014</t>
  </si>
  <si>
    <t xml:space="preserve">پشتیبانی امور دام </t>
  </si>
  <si>
    <t xml:space="preserve">پتروشیمی کردستان </t>
  </si>
  <si>
    <t xml:space="preserve">مدیریت تولید برق جنوب غرب (آبادان) </t>
  </si>
  <si>
    <t xml:space="preserve">مدیریت تولید برق جنوب غرب (آبادان </t>
  </si>
  <si>
    <t>96/10/26</t>
  </si>
  <si>
    <t xml:space="preserve">شرکت تعمیراتی نیروگاهی ایران </t>
  </si>
  <si>
    <t>96/10/30</t>
  </si>
  <si>
    <t>M1015</t>
  </si>
  <si>
    <t>M1016</t>
  </si>
  <si>
    <t>96/10/27</t>
  </si>
  <si>
    <t>فرآورده های نسوز آذر</t>
  </si>
  <si>
    <t xml:space="preserve">نیروگاه منتظری </t>
  </si>
  <si>
    <t>96/11/01</t>
  </si>
  <si>
    <t>96/11/04</t>
  </si>
  <si>
    <t>M1017</t>
  </si>
  <si>
    <t>96/11/11</t>
  </si>
  <si>
    <t>M1018</t>
  </si>
  <si>
    <t>96/11/14</t>
  </si>
  <si>
    <t>M1019</t>
  </si>
  <si>
    <t xml:space="preserve">پتروشیمی شازند </t>
  </si>
  <si>
    <t>96/11/15</t>
  </si>
  <si>
    <t xml:space="preserve">نصب و تعمیرات نیروگاه های برق آبی خوزستان </t>
  </si>
  <si>
    <t>96/11/17</t>
  </si>
  <si>
    <t>شرکت آهن و فولاد غدیر ایرانیان</t>
  </si>
  <si>
    <t xml:space="preserve">شرکت آهن و فولاد غدیر ایرانیان </t>
  </si>
  <si>
    <t>96/11/26</t>
  </si>
  <si>
    <t xml:space="preserve">بازرگانی بهران </t>
  </si>
  <si>
    <t>96/12/02</t>
  </si>
  <si>
    <t>M1020</t>
  </si>
  <si>
    <t>96/12/05</t>
  </si>
  <si>
    <t>M1021</t>
  </si>
  <si>
    <t>96/12/14</t>
  </si>
  <si>
    <t>M1022</t>
  </si>
  <si>
    <t>96/12/10</t>
  </si>
  <si>
    <t xml:space="preserve">چدن سازان </t>
  </si>
  <si>
    <t>96/12/16</t>
  </si>
  <si>
    <t>M1023</t>
  </si>
  <si>
    <t>96/12/19</t>
  </si>
  <si>
    <t xml:space="preserve">پتروشیمی مارون </t>
  </si>
  <si>
    <t>96/12/20</t>
  </si>
  <si>
    <t>M1024</t>
  </si>
  <si>
    <t>M1026</t>
  </si>
  <si>
    <t>96/12/21</t>
  </si>
  <si>
    <t>M1028</t>
  </si>
  <si>
    <t>96/12/22</t>
  </si>
  <si>
    <t>M1029</t>
  </si>
  <si>
    <t xml:space="preserve">سنگ و تراش ضامن ایرانیان </t>
  </si>
  <si>
    <t>نفت ستاره خلیج فارس</t>
  </si>
  <si>
    <t xml:space="preserve">چوب و کاغذ مازندران </t>
  </si>
  <si>
    <t>96/12/24</t>
  </si>
  <si>
    <t>M1030</t>
  </si>
  <si>
    <t>97/01/15</t>
  </si>
  <si>
    <t>M1031</t>
  </si>
  <si>
    <t>97/01/19</t>
  </si>
  <si>
    <t>M1032</t>
  </si>
  <si>
    <t>97/01/18</t>
  </si>
  <si>
    <t>97/01/22</t>
  </si>
  <si>
    <t>M1033</t>
  </si>
  <si>
    <t>M1034</t>
  </si>
  <si>
    <t>97/01/28</t>
  </si>
  <si>
    <t>M1035</t>
  </si>
  <si>
    <t>شرکت شاخص</t>
  </si>
  <si>
    <t>97/01/27</t>
  </si>
  <si>
    <t xml:space="preserve">پتروشیمی خوزستان </t>
  </si>
  <si>
    <t>97/01/29</t>
  </si>
  <si>
    <t>پالایش نفت ستاره خلیج فارس</t>
  </si>
  <si>
    <t>97/02/01</t>
  </si>
  <si>
    <t>97/02/10</t>
  </si>
  <si>
    <t>M1037</t>
  </si>
  <si>
    <t>97/02/02</t>
  </si>
  <si>
    <t>97/02/04</t>
  </si>
  <si>
    <t>مدیریت تولید برق جنوب غرب</t>
  </si>
  <si>
    <t>97/02/05</t>
  </si>
  <si>
    <t>97/02/09</t>
  </si>
  <si>
    <t xml:space="preserve">انتقال گاز ایران </t>
  </si>
  <si>
    <t>بهدیس. امیرآباد گرین ترمینال کیش</t>
  </si>
  <si>
    <t>مهندسی و نصب فیرمکو</t>
  </si>
  <si>
    <t>شرکت سنگاب</t>
  </si>
  <si>
    <t>97/02/11</t>
  </si>
  <si>
    <t>M1038</t>
  </si>
  <si>
    <t xml:space="preserve">پالایش نفت امام خمینی شازند </t>
  </si>
  <si>
    <t>97/02/18</t>
  </si>
  <si>
    <t>تهیه و تولید مواد نسوز کشور</t>
  </si>
  <si>
    <t>شرکت تاسیسات دریایی</t>
  </si>
  <si>
    <t>97/02/19</t>
  </si>
  <si>
    <t>M1039</t>
  </si>
  <si>
    <t>97/02/22</t>
  </si>
  <si>
    <t>M1040</t>
  </si>
  <si>
    <t>97/02/24</t>
  </si>
  <si>
    <t>M1042</t>
  </si>
  <si>
    <t>M1044</t>
  </si>
  <si>
    <t>M1045</t>
  </si>
  <si>
    <t>M1046</t>
  </si>
  <si>
    <t>پتروشیمی غدیر</t>
  </si>
  <si>
    <t>97/02/23</t>
  </si>
  <si>
    <t>97/02/26</t>
  </si>
  <si>
    <t>M1047</t>
  </si>
  <si>
    <t>97/02/25</t>
  </si>
  <si>
    <t>97/02/27</t>
  </si>
  <si>
    <t>97/02/30</t>
  </si>
  <si>
    <t>M1048</t>
  </si>
  <si>
    <t>97/02/31</t>
  </si>
  <si>
    <t>97/03/01</t>
  </si>
  <si>
    <t>M1049</t>
  </si>
  <si>
    <t xml:space="preserve">ترکیبی </t>
  </si>
  <si>
    <t>97/03/02</t>
  </si>
  <si>
    <t>M1050</t>
  </si>
  <si>
    <t>M1051</t>
  </si>
  <si>
    <t>97/03/03</t>
  </si>
  <si>
    <t>97/03/07</t>
  </si>
  <si>
    <t>واردات پرونده B-12076</t>
  </si>
  <si>
    <t>فاتح صنعیت کیمیا</t>
  </si>
  <si>
    <t>M1052</t>
  </si>
  <si>
    <t>97/03/19</t>
  </si>
  <si>
    <t>M1053</t>
  </si>
  <si>
    <t>97/03/21</t>
  </si>
  <si>
    <t>M1054</t>
  </si>
  <si>
    <t>97/03/22</t>
  </si>
  <si>
    <t>پالایش گاز پارسیان</t>
  </si>
  <si>
    <t>97/03/20</t>
  </si>
  <si>
    <t>97/03/24</t>
  </si>
  <si>
    <t>M1055</t>
  </si>
  <si>
    <t>97/03/23</t>
  </si>
  <si>
    <t>97/03/30</t>
  </si>
  <si>
    <t>M1056</t>
  </si>
  <si>
    <t>M1057</t>
  </si>
  <si>
    <t>97/04/02</t>
  </si>
  <si>
    <t>97/03/31</t>
  </si>
  <si>
    <t>97/04/12</t>
  </si>
  <si>
    <t>M1058</t>
  </si>
  <si>
    <t>97/04/19</t>
  </si>
  <si>
    <t>M1060</t>
  </si>
  <si>
    <t>97/04/17</t>
  </si>
  <si>
    <t>97/04/23</t>
  </si>
  <si>
    <t>فولاد مبارکه</t>
  </si>
  <si>
    <t>97/04/20</t>
  </si>
  <si>
    <t>97/04/27</t>
  </si>
  <si>
    <t>M1061</t>
  </si>
  <si>
    <t>سازمان منطقه آزاد کیش</t>
  </si>
  <si>
    <t>97/05/01</t>
  </si>
  <si>
    <t>تست توسط آقای زهیری</t>
  </si>
  <si>
    <t>97/05/02</t>
  </si>
  <si>
    <t>97/05/04</t>
  </si>
  <si>
    <t>M1062</t>
  </si>
  <si>
    <t>97/05/07</t>
  </si>
  <si>
    <t>واکیوم پارس</t>
  </si>
  <si>
    <t>97/05/09</t>
  </si>
  <si>
    <t>97/05/18</t>
  </si>
  <si>
    <t>M1063</t>
  </si>
  <si>
    <t>97/05/22</t>
  </si>
  <si>
    <t>97/05/24</t>
  </si>
  <si>
    <t>97/05/27</t>
  </si>
  <si>
    <t>M1064</t>
  </si>
  <si>
    <t>97/05/29</t>
  </si>
  <si>
    <t>M1065</t>
  </si>
  <si>
    <t>97/05/25</t>
  </si>
  <si>
    <t>سیمان بجنورد</t>
  </si>
  <si>
    <t>M1066</t>
  </si>
  <si>
    <t>97/06/05</t>
  </si>
  <si>
    <t>M1067</t>
  </si>
  <si>
    <t>97/06/10</t>
  </si>
  <si>
    <t>تروند تدبیر</t>
  </si>
  <si>
    <t>97/06/12</t>
  </si>
  <si>
    <t xml:space="preserve">کیمیا شیمی هرمزگان </t>
  </si>
  <si>
    <t>کیمیا شیمی هرمزگان</t>
  </si>
  <si>
    <t>97/06/14</t>
  </si>
  <si>
    <t>97/06/17</t>
  </si>
  <si>
    <t>M1069</t>
  </si>
  <si>
    <t>97/06/18</t>
  </si>
  <si>
    <t>97/06/20</t>
  </si>
  <si>
    <t>97/06/21</t>
  </si>
  <si>
    <t xml:space="preserve">قند اصفهان </t>
  </si>
  <si>
    <t>97/06/24</t>
  </si>
  <si>
    <t>پالایش نفت تهران</t>
  </si>
  <si>
    <t>97/06/26</t>
  </si>
  <si>
    <t>M1070</t>
  </si>
  <si>
    <t>97/07/02</t>
  </si>
  <si>
    <t>تاسیسات دریایی</t>
  </si>
  <si>
    <t>97/07/03</t>
  </si>
  <si>
    <t>97/07/07</t>
  </si>
  <si>
    <t>M1072</t>
  </si>
  <si>
    <t>97/07/10</t>
  </si>
  <si>
    <t>M1073</t>
  </si>
  <si>
    <t xml:space="preserve">انتقال گاز </t>
  </si>
  <si>
    <t>97/07/12</t>
  </si>
  <si>
    <t>M1074</t>
  </si>
  <si>
    <t>97/07/16</t>
  </si>
  <si>
    <t>M1075</t>
  </si>
  <si>
    <t>97/07/17</t>
  </si>
  <si>
    <t>M1076</t>
  </si>
  <si>
    <t>97/07/21</t>
  </si>
  <si>
    <t>M1077</t>
  </si>
  <si>
    <t>97/07/22</t>
  </si>
  <si>
    <t>M1078</t>
  </si>
  <si>
    <t>97/07/24</t>
  </si>
  <si>
    <t>97/07/25</t>
  </si>
  <si>
    <t>M1079</t>
  </si>
  <si>
    <t>97/07/28</t>
  </si>
  <si>
    <t xml:space="preserve">فولاد مبارکه اصفهان </t>
  </si>
  <si>
    <t>97/07/30</t>
  </si>
  <si>
    <t>M1080</t>
  </si>
  <si>
    <t>تولیدی آبان صنعت کارا</t>
  </si>
  <si>
    <t>حمل و نقل ریلی رجا</t>
  </si>
  <si>
    <t>97/08/02</t>
  </si>
  <si>
    <t>M1081</t>
  </si>
  <si>
    <t>M1082</t>
  </si>
  <si>
    <t>97/08/05</t>
  </si>
  <si>
    <t xml:space="preserve">پالایش نفت شازند اراک </t>
  </si>
  <si>
    <t>97/08/07</t>
  </si>
  <si>
    <t>M1083</t>
  </si>
  <si>
    <t>16 ست کامل</t>
  </si>
  <si>
    <t>9 ست معیوب</t>
  </si>
  <si>
    <t>97/08/12</t>
  </si>
  <si>
    <t>97/08/13</t>
  </si>
  <si>
    <t>M1084</t>
  </si>
  <si>
    <t>97/08/14</t>
  </si>
  <si>
    <t>M1085</t>
  </si>
  <si>
    <t>97/08/20</t>
  </si>
  <si>
    <t>M1086</t>
  </si>
  <si>
    <t>موجودی صفر</t>
  </si>
  <si>
    <t>97/08/19</t>
  </si>
  <si>
    <t>نظم آوران صنعت و معدن گل گهر</t>
  </si>
  <si>
    <t>97/08/22</t>
  </si>
  <si>
    <t xml:space="preserve">صنایع مس باهنر </t>
  </si>
  <si>
    <t>97/08/23</t>
  </si>
  <si>
    <t>M1087</t>
  </si>
  <si>
    <t>97/08/26</t>
  </si>
  <si>
    <t>M1088</t>
  </si>
  <si>
    <t>97/08/27</t>
  </si>
  <si>
    <t>97/09/06</t>
  </si>
  <si>
    <t>97/09/07</t>
  </si>
  <si>
    <t>M1089</t>
  </si>
  <si>
    <t>M1090</t>
  </si>
  <si>
    <t>97/09/10</t>
  </si>
  <si>
    <t>M1091</t>
  </si>
  <si>
    <t>97/09/14</t>
  </si>
  <si>
    <t>M1092</t>
  </si>
  <si>
    <t>M1093</t>
  </si>
  <si>
    <t>97/09/19</t>
  </si>
  <si>
    <t>M1094</t>
  </si>
  <si>
    <t>97/09/15</t>
  </si>
  <si>
    <t>97/09/17</t>
  </si>
  <si>
    <t xml:space="preserve">پیشگامان صنایع آسیا </t>
  </si>
  <si>
    <t>97/09/18</t>
  </si>
  <si>
    <t xml:space="preserve">پتروشیمی بیستون </t>
  </si>
  <si>
    <t>97/09/22</t>
  </si>
  <si>
    <t>M1095</t>
  </si>
  <si>
    <t>M1096</t>
  </si>
  <si>
    <t>M1097</t>
  </si>
  <si>
    <t>97/09/26</t>
  </si>
  <si>
    <t>M1098</t>
  </si>
  <si>
    <t>97/09/27</t>
  </si>
  <si>
    <t>M1099</t>
  </si>
  <si>
    <t>97/10/01</t>
  </si>
  <si>
    <t>M1100</t>
  </si>
  <si>
    <t>M1101</t>
  </si>
  <si>
    <t>97/10/02</t>
  </si>
  <si>
    <t>علی سحابی غ رسمی</t>
  </si>
  <si>
    <t>M1103</t>
  </si>
  <si>
    <t>97/10/04</t>
  </si>
  <si>
    <t>پارت پاپیروس</t>
  </si>
  <si>
    <t xml:space="preserve">مدیریت تولید برق دماوند </t>
  </si>
  <si>
    <t>97/10/05</t>
  </si>
  <si>
    <t>97/10/06</t>
  </si>
  <si>
    <t>پتروشیمی اصفهان</t>
  </si>
  <si>
    <t>97/10/08</t>
  </si>
  <si>
    <t>سیمان زنجان</t>
  </si>
  <si>
    <t>97/10/10</t>
  </si>
  <si>
    <t>M1104</t>
  </si>
  <si>
    <t>97/10/13</t>
  </si>
  <si>
    <t>M1105</t>
  </si>
  <si>
    <t>97/10/12</t>
  </si>
  <si>
    <t>فولاد خراسان</t>
  </si>
  <si>
    <t>شرکت خط دریا بندر</t>
  </si>
  <si>
    <t>97/10/16</t>
  </si>
  <si>
    <t>97/10/17</t>
  </si>
  <si>
    <t>M1106</t>
  </si>
  <si>
    <t xml:space="preserve">صنعت فولاد شادگان </t>
  </si>
  <si>
    <t>97/10/20</t>
  </si>
  <si>
    <t xml:space="preserve">توسعه فناوری پایش خوردگی یکتا </t>
  </si>
  <si>
    <t>97/10/22</t>
  </si>
  <si>
    <t>M1107</t>
  </si>
  <si>
    <t>97/10/23</t>
  </si>
  <si>
    <t>M1108</t>
  </si>
  <si>
    <t>97/10/24</t>
  </si>
  <si>
    <t>M1109</t>
  </si>
  <si>
    <t>97/10/25</t>
  </si>
  <si>
    <t xml:space="preserve">توسعه صنعت پترو کاردان </t>
  </si>
  <si>
    <t>15 ست رزرو پردیس</t>
  </si>
  <si>
    <t>97/10/27</t>
  </si>
  <si>
    <t>M1110</t>
  </si>
  <si>
    <t>97/10/29</t>
  </si>
  <si>
    <t>97/11/03</t>
  </si>
  <si>
    <t>M1112</t>
  </si>
  <si>
    <t>M1113</t>
  </si>
  <si>
    <t>97/11/06</t>
  </si>
  <si>
    <t>M1114</t>
  </si>
  <si>
    <t xml:space="preserve">سولدیفایر بایر لایروبی بشه </t>
  </si>
  <si>
    <t>97/11/02</t>
  </si>
  <si>
    <t>97/11/04</t>
  </si>
  <si>
    <t>97/11/10</t>
  </si>
  <si>
    <t>97/11/14</t>
  </si>
  <si>
    <t>97/11/23</t>
  </si>
  <si>
    <t>ماشین های دوار خاور طوس</t>
  </si>
  <si>
    <t>پدیده صدراب پایا</t>
  </si>
  <si>
    <t>97/11/28</t>
  </si>
  <si>
    <t xml:space="preserve">سیمان شاهرود </t>
  </si>
  <si>
    <t>97/12/01</t>
  </si>
  <si>
    <t>سیمان منددشتی</t>
  </si>
  <si>
    <t>97/12/04</t>
  </si>
  <si>
    <t>97/12/14</t>
  </si>
  <si>
    <t>M116</t>
  </si>
  <si>
    <t>M1116</t>
  </si>
  <si>
    <t>سیمان تیس چابهار</t>
  </si>
  <si>
    <t>97/12/19</t>
  </si>
  <si>
    <t>M1117</t>
  </si>
  <si>
    <t>97/12/26</t>
  </si>
  <si>
    <t>M1118</t>
  </si>
  <si>
    <t xml:space="preserve">نصب و تعمیرات نیروگاه برق آبی خوزستان </t>
  </si>
  <si>
    <t>98/01/20</t>
  </si>
  <si>
    <t>M1119</t>
  </si>
  <si>
    <t>98/01/21</t>
  </si>
  <si>
    <t>واردات پرونده B-12125</t>
  </si>
  <si>
    <t>98/01/22</t>
  </si>
  <si>
    <t>98/01/26</t>
  </si>
  <si>
    <t>M1120</t>
  </si>
  <si>
    <t>98/01/27</t>
  </si>
  <si>
    <t>M1121</t>
  </si>
  <si>
    <t>98/01/28</t>
  </si>
  <si>
    <t>M1122</t>
  </si>
  <si>
    <t>98/01/31</t>
  </si>
  <si>
    <t>M1123</t>
  </si>
  <si>
    <t>98/02/02</t>
  </si>
  <si>
    <t>98/02/05</t>
  </si>
  <si>
    <t>M1124</t>
  </si>
  <si>
    <t>M1125</t>
  </si>
  <si>
    <t xml:space="preserve">پتروشیمی تخت جمشید </t>
  </si>
  <si>
    <t>پتروشیمی تخت جمشید</t>
  </si>
  <si>
    <t>98/02/07</t>
  </si>
  <si>
    <t>98/02/09</t>
  </si>
  <si>
    <t>M1126</t>
  </si>
  <si>
    <t xml:space="preserve">فولاد هرمزگان </t>
  </si>
  <si>
    <t>98/02/08</t>
  </si>
  <si>
    <t>98/02/10</t>
  </si>
  <si>
    <t xml:space="preserve">سیمان نیزار قم </t>
  </si>
  <si>
    <t>98/02/12</t>
  </si>
  <si>
    <t xml:space="preserve">پالایش گاز پارسیان </t>
  </si>
  <si>
    <t>98/02/15</t>
  </si>
  <si>
    <t>M1127</t>
  </si>
  <si>
    <t>98/02/16</t>
  </si>
  <si>
    <t>M1128</t>
  </si>
  <si>
    <t>98/02/17</t>
  </si>
  <si>
    <t xml:space="preserve">بابت ابطال فاکتور </t>
  </si>
  <si>
    <t>98/02/18</t>
  </si>
  <si>
    <t>M1129</t>
  </si>
  <si>
    <t>98/02/24</t>
  </si>
  <si>
    <t>M1130</t>
  </si>
  <si>
    <t>98/02/22</t>
  </si>
  <si>
    <t>نیروگاه سلیمی نکا</t>
  </si>
  <si>
    <t>98/02/25</t>
  </si>
  <si>
    <t>98/02/23</t>
  </si>
  <si>
    <t>98/03/02</t>
  </si>
  <si>
    <t>M1131</t>
  </si>
  <si>
    <t>98/02/31</t>
  </si>
  <si>
    <t>98/03/05</t>
  </si>
  <si>
    <t>M1132</t>
  </si>
  <si>
    <t>M1133</t>
  </si>
  <si>
    <t xml:space="preserve">شرکت آرتا پان </t>
  </si>
  <si>
    <t xml:space="preserve">پارس جنوبی </t>
  </si>
  <si>
    <t>98/03/04</t>
  </si>
  <si>
    <t>98/03/13</t>
  </si>
  <si>
    <t>M1136</t>
  </si>
  <si>
    <t>M1137</t>
  </si>
  <si>
    <t>98/03/18</t>
  </si>
  <si>
    <t>M1138</t>
  </si>
  <si>
    <t>98/03/12</t>
  </si>
  <si>
    <t>تولید مواد اولیه مصنوعی DMT</t>
  </si>
  <si>
    <t>98/03/21</t>
  </si>
  <si>
    <t>M1139</t>
  </si>
  <si>
    <t>98/03/19</t>
  </si>
  <si>
    <t>شرکت آرتا انرژی</t>
  </si>
  <si>
    <t>98/03/20</t>
  </si>
  <si>
    <t xml:space="preserve">فرانگر زرفام </t>
  </si>
  <si>
    <t>98/03/22</t>
  </si>
  <si>
    <t>M1140</t>
  </si>
  <si>
    <t>M1141</t>
  </si>
  <si>
    <t>98/03/26</t>
  </si>
  <si>
    <t>M1142</t>
  </si>
  <si>
    <t>98/03/27</t>
  </si>
  <si>
    <t>M1143</t>
  </si>
  <si>
    <t>98/03/23</t>
  </si>
  <si>
    <t>98/03/28</t>
  </si>
  <si>
    <t>98/04/03</t>
  </si>
  <si>
    <t>پتروشیمی اروند</t>
  </si>
  <si>
    <t xml:space="preserve">پتروشیمی شیمی بافت </t>
  </si>
  <si>
    <t>98/04/06</t>
  </si>
  <si>
    <t xml:space="preserve">نفت و گاز زاگرس جنوبی </t>
  </si>
  <si>
    <t xml:space="preserve">پتروشیمی ایلام </t>
  </si>
  <si>
    <t>98/04/11</t>
  </si>
  <si>
    <t>M1146</t>
  </si>
  <si>
    <t>98/04/15</t>
  </si>
  <si>
    <t xml:space="preserve">فولاد خوزستان </t>
  </si>
  <si>
    <t>98/04/17</t>
  </si>
  <si>
    <t>98/04/18</t>
  </si>
  <si>
    <t>حمید-غ رسمی</t>
  </si>
  <si>
    <t>M1147</t>
  </si>
  <si>
    <t>98/04/22</t>
  </si>
  <si>
    <t>M1148</t>
  </si>
  <si>
    <t>شرکت آرا سلولز فارس</t>
  </si>
  <si>
    <t>پتروشیمی نوری</t>
  </si>
  <si>
    <t>98/04/24</t>
  </si>
  <si>
    <t>M1149</t>
  </si>
  <si>
    <t>98/04/30</t>
  </si>
  <si>
    <t>M1150</t>
  </si>
  <si>
    <t>98/04/31</t>
  </si>
  <si>
    <t>98/05/02</t>
  </si>
  <si>
    <t>98/05/06</t>
  </si>
  <si>
    <t>M1151</t>
  </si>
  <si>
    <t>98/05/09</t>
  </si>
  <si>
    <t>M1152</t>
  </si>
  <si>
    <t>98/05/10</t>
  </si>
  <si>
    <t>98/05/14</t>
  </si>
  <si>
    <t>M1153</t>
  </si>
  <si>
    <t>خرمی - گچساران</t>
  </si>
  <si>
    <t xml:space="preserve">خرمی - گچساران </t>
  </si>
  <si>
    <t>M1154</t>
  </si>
  <si>
    <t>98/05/15</t>
  </si>
  <si>
    <t>M1155</t>
  </si>
  <si>
    <t>87/05/20</t>
  </si>
  <si>
    <t xml:space="preserve">شرکت ملی صنایع مس ایران </t>
  </si>
  <si>
    <t>98/05/20</t>
  </si>
  <si>
    <t>سنگین پارت صنعت آپادانا</t>
  </si>
  <si>
    <t>98/05/27</t>
  </si>
  <si>
    <t>M1157</t>
  </si>
  <si>
    <t>98/05/28</t>
  </si>
  <si>
    <t>M1158</t>
  </si>
  <si>
    <t>کارخانه روغنکشی خرمشهر</t>
  </si>
  <si>
    <t>98/06/06</t>
  </si>
  <si>
    <t>M1159</t>
  </si>
  <si>
    <t>98/05/31</t>
  </si>
  <si>
    <t>98/06/03</t>
  </si>
  <si>
    <t>98/06/04</t>
  </si>
  <si>
    <t xml:space="preserve">98/06/04 </t>
  </si>
  <si>
    <t>98/06/05</t>
  </si>
  <si>
    <t>98/06/11</t>
  </si>
  <si>
    <t>M1161</t>
  </si>
  <si>
    <t>98/06/13</t>
  </si>
  <si>
    <t>M1162</t>
  </si>
  <si>
    <t>98/06/17</t>
  </si>
  <si>
    <t>M1163</t>
  </si>
  <si>
    <t>M1164</t>
  </si>
  <si>
    <t>98/06/14</t>
  </si>
  <si>
    <t xml:space="preserve">آرین ساده </t>
  </si>
  <si>
    <t>98/06/20</t>
  </si>
  <si>
    <t>98/06/23</t>
  </si>
  <si>
    <t>98/06/31</t>
  </si>
  <si>
    <t xml:space="preserve">شرکت نفت فلات قاره </t>
  </si>
  <si>
    <t>98/07/03</t>
  </si>
  <si>
    <t>M1166</t>
  </si>
  <si>
    <t>98/07/16</t>
  </si>
  <si>
    <t>M1168</t>
  </si>
  <si>
    <t>M1169</t>
  </si>
  <si>
    <t>98/07/18</t>
  </si>
  <si>
    <t>98/07/23</t>
  </si>
  <si>
    <t>M1170</t>
  </si>
  <si>
    <t>M1171</t>
  </si>
  <si>
    <t>M1172</t>
  </si>
  <si>
    <t>برنا صنعت طوس</t>
  </si>
  <si>
    <t>مهندسی و ساخت لوکوموتیو مپنا</t>
  </si>
  <si>
    <t>98/07/29</t>
  </si>
  <si>
    <t>M1173</t>
  </si>
  <si>
    <t>98/07/30</t>
  </si>
  <si>
    <t>98/08/01</t>
  </si>
  <si>
    <t>M1174</t>
  </si>
  <si>
    <t>نیروگاه منتظری</t>
  </si>
  <si>
    <t>98/08/04</t>
  </si>
  <si>
    <t>M1175</t>
  </si>
  <si>
    <t>98/08/21</t>
  </si>
  <si>
    <t>M1177</t>
  </si>
  <si>
    <t>98/08/19</t>
  </si>
  <si>
    <t>98/08/26</t>
  </si>
  <si>
    <t>M1178</t>
  </si>
  <si>
    <t>98/08/27</t>
  </si>
  <si>
    <t>پالایش نفت اصفهان</t>
  </si>
  <si>
    <t>98/08/28</t>
  </si>
  <si>
    <t>98/09/02</t>
  </si>
  <si>
    <t>98/09/04</t>
  </si>
  <si>
    <t>M1179</t>
  </si>
  <si>
    <t>98/09/05</t>
  </si>
  <si>
    <t>98/09/09</t>
  </si>
  <si>
    <t>واردات پرونده B-12258</t>
  </si>
  <si>
    <t>طبق واردات B-12258</t>
  </si>
  <si>
    <t>M1180</t>
  </si>
  <si>
    <t>98/09/10</t>
  </si>
  <si>
    <t>M1181</t>
  </si>
  <si>
    <t>98/09/11</t>
  </si>
  <si>
    <t xml:space="preserve">فولاد مبارکه </t>
  </si>
  <si>
    <t>98/09/13</t>
  </si>
  <si>
    <t>M1182</t>
  </si>
  <si>
    <t>98/09/16</t>
  </si>
  <si>
    <t>M1183</t>
  </si>
  <si>
    <t>98/09/14</t>
  </si>
  <si>
    <t>98/09/20</t>
  </si>
  <si>
    <t>M1184</t>
  </si>
  <si>
    <t>M1185</t>
  </si>
  <si>
    <t>98/10/04</t>
  </si>
  <si>
    <t>M1186</t>
  </si>
  <si>
    <t>فولاد سپید فرآب کویر</t>
  </si>
  <si>
    <t>98/10/05</t>
  </si>
  <si>
    <t>98/10/14</t>
  </si>
  <si>
    <t xml:space="preserve">سیمان بجنورد </t>
  </si>
  <si>
    <t>98/10/17</t>
  </si>
  <si>
    <t>توربین های غدیر یزد</t>
  </si>
  <si>
    <t>98/10/22</t>
  </si>
  <si>
    <t>98/10/28</t>
  </si>
  <si>
    <t>M1188</t>
  </si>
  <si>
    <t>98/11/02</t>
  </si>
  <si>
    <t>M1189</t>
  </si>
  <si>
    <t>98/11/01</t>
  </si>
  <si>
    <t xml:space="preserve">پترو تکسان </t>
  </si>
  <si>
    <t>98/11/06</t>
  </si>
  <si>
    <t>M1190</t>
  </si>
  <si>
    <t xml:space="preserve">روغنکشی نوید خلیج فارس </t>
  </si>
  <si>
    <t>حسینی عباسعلی</t>
  </si>
  <si>
    <t>98/11/07</t>
  </si>
  <si>
    <t>M1191</t>
  </si>
  <si>
    <t>98/11/12</t>
  </si>
  <si>
    <t>98/11/13</t>
  </si>
  <si>
    <t>M1192</t>
  </si>
  <si>
    <t>98/11/14</t>
  </si>
  <si>
    <t>M1193</t>
  </si>
  <si>
    <t>98/11/17</t>
  </si>
  <si>
    <t>98/11/23</t>
  </si>
  <si>
    <t>M1194</t>
  </si>
  <si>
    <t>98/11/27</t>
  </si>
  <si>
    <t>M1195</t>
  </si>
  <si>
    <t>98/11/28</t>
  </si>
  <si>
    <t>98/11/30</t>
  </si>
  <si>
    <t>M1196</t>
  </si>
  <si>
    <t>98/12/05</t>
  </si>
  <si>
    <t xml:space="preserve">پتروشیمی پارس </t>
  </si>
  <si>
    <t>پتروشیمی کرمانشاه</t>
  </si>
  <si>
    <t xml:space="preserve">پتروشیمی کرمانشاه </t>
  </si>
  <si>
    <t>98/12/07</t>
  </si>
  <si>
    <t xml:space="preserve">پتروشیمی لاله </t>
  </si>
  <si>
    <t>98/12/11</t>
  </si>
  <si>
    <t>واردات پرونده B-12315</t>
  </si>
  <si>
    <t>طبق واردات B-12315</t>
  </si>
  <si>
    <t>98/12/14</t>
  </si>
  <si>
    <t xml:space="preserve">سیمان هرمزگان </t>
  </si>
  <si>
    <t>98/12/20</t>
  </si>
  <si>
    <t>98/12/24</t>
  </si>
  <si>
    <t>M1198</t>
  </si>
  <si>
    <t>98/12/26</t>
  </si>
  <si>
    <t>98/12/28</t>
  </si>
  <si>
    <t>99/01/06</t>
  </si>
  <si>
    <t>99/01/23</t>
  </si>
  <si>
    <t>99/01/31</t>
  </si>
  <si>
    <t>M1199</t>
  </si>
  <si>
    <t>مظاهری - غ رسمی</t>
  </si>
  <si>
    <t>M1200</t>
  </si>
  <si>
    <t>99/01/30</t>
  </si>
  <si>
    <t>99/02/07</t>
  </si>
  <si>
    <t>M1201</t>
  </si>
  <si>
    <t>99/02/09</t>
  </si>
  <si>
    <t xml:space="preserve">سیمان باقران </t>
  </si>
  <si>
    <t>بعد از شمارش انبار</t>
  </si>
  <si>
    <t xml:space="preserve">تولید برق دماوند </t>
  </si>
  <si>
    <t>99/02/14</t>
  </si>
  <si>
    <t>M1202</t>
  </si>
  <si>
    <t>99/02/15</t>
  </si>
  <si>
    <t xml:space="preserve">شیمی بافت </t>
  </si>
  <si>
    <t>نیرو کلر</t>
  </si>
  <si>
    <t>99/02/23</t>
  </si>
  <si>
    <t>M1203</t>
  </si>
  <si>
    <t>99/02/20</t>
  </si>
  <si>
    <t>99/02/22</t>
  </si>
  <si>
    <t>99/02/28</t>
  </si>
  <si>
    <t>M1204</t>
  </si>
  <si>
    <t>99/02/29</t>
  </si>
  <si>
    <t>99/03/07</t>
  </si>
  <si>
    <t>M1205</t>
  </si>
  <si>
    <t>M1206</t>
  </si>
  <si>
    <t>M1207</t>
  </si>
  <si>
    <t>99/03/10</t>
  </si>
  <si>
    <t>M1208</t>
  </si>
  <si>
    <t>99/03/18</t>
  </si>
  <si>
    <t>M1209</t>
  </si>
  <si>
    <t>M1210</t>
  </si>
  <si>
    <t>99/03/13</t>
  </si>
  <si>
    <t>99/03/19</t>
  </si>
  <si>
    <t>کربن ایران</t>
  </si>
  <si>
    <t>99/03/21</t>
  </si>
  <si>
    <t>M1211</t>
  </si>
  <si>
    <t>99/03/22</t>
  </si>
  <si>
    <t>بهره برداری و تعمیراتی مپنا</t>
  </si>
  <si>
    <t>99/03/25</t>
  </si>
  <si>
    <t>M1212</t>
  </si>
  <si>
    <t>M1213</t>
  </si>
  <si>
    <t>99/03/27</t>
  </si>
  <si>
    <t>99/04/01</t>
  </si>
  <si>
    <t>M1214</t>
  </si>
  <si>
    <t>M1215</t>
  </si>
  <si>
    <t>99/04/05</t>
  </si>
  <si>
    <t xml:space="preserve">کاوشگران عصر نفت </t>
  </si>
  <si>
    <t>99/04/02</t>
  </si>
  <si>
    <t>99/04/12</t>
  </si>
  <si>
    <t>آرا سلولز فارس</t>
  </si>
  <si>
    <t>99/04/18</t>
  </si>
  <si>
    <t>M1217</t>
  </si>
  <si>
    <t xml:space="preserve">99/04/18 </t>
  </si>
  <si>
    <t xml:space="preserve">پتروشیمی تندگویان </t>
  </si>
  <si>
    <t>99/04/22</t>
  </si>
  <si>
    <t xml:space="preserve">بنیان طرح فولاد </t>
  </si>
  <si>
    <t>M1218</t>
  </si>
  <si>
    <t>99/04/29</t>
  </si>
  <si>
    <t>M1219</t>
  </si>
  <si>
    <t>99/05/01</t>
  </si>
  <si>
    <t>M1220</t>
  </si>
  <si>
    <t>99/05/12</t>
  </si>
  <si>
    <t>M1221</t>
  </si>
  <si>
    <t>99/05/15</t>
  </si>
  <si>
    <t>M1222</t>
  </si>
  <si>
    <t>99/05/13</t>
  </si>
  <si>
    <t xml:space="preserve">پتروشیمی مروارید </t>
  </si>
  <si>
    <t>99/05/27</t>
  </si>
  <si>
    <t>مبین انرژی خلیج فارس</t>
  </si>
  <si>
    <t>99/05/30</t>
  </si>
  <si>
    <t xml:space="preserve">پمپهای صنعتی ایران </t>
  </si>
  <si>
    <t>99/06/04</t>
  </si>
  <si>
    <t>M1223</t>
  </si>
  <si>
    <t>99/06/05</t>
  </si>
  <si>
    <t>99/06/13</t>
  </si>
  <si>
    <t>M1224</t>
  </si>
  <si>
    <t>99/06/16</t>
  </si>
  <si>
    <t>99/06/19</t>
  </si>
  <si>
    <t>M1225</t>
  </si>
  <si>
    <t>ماشین های خاور طوس</t>
  </si>
  <si>
    <t xml:space="preserve">ریخته گری اصفهان </t>
  </si>
  <si>
    <t>99/06/24</t>
  </si>
  <si>
    <t>99/07/02</t>
  </si>
  <si>
    <t>M1227</t>
  </si>
  <si>
    <t>M1228</t>
  </si>
  <si>
    <t>99/06/31</t>
  </si>
  <si>
    <t>مانا ابتکار مهر ایرانیان</t>
  </si>
  <si>
    <t xml:space="preserve">سیمان ساوه </t>
  </si>
  <si>
    <t>99/07/06</t>
  </si>
  <si>
    <t>99/07/23</t>
  </si>
  <si>
    <t>M1230</t>
  </si>
  <si>
    <t>M1231</t>
  </si>
  <si>
    <t>99/07/20</t>
  </si>
  <si>
    <t>سد و نیروگاه کارون 3</t>
  </si>
  <si>
    <t>99/08/06</t>
  </si>
  <si>
    <t>M1232</t>
  </si>
  <si>
    <t>99/08/08</t>
  </si>
  <si>
    <t xml:space="preserve">شرکت فولاد هرمزگان </t>
  </si>
  <si>
    <t>99/08/18</t>
  </si>
  <si>
    <t>سیمان شاهرود</t>
  </si>
  <si>
    <t>واردات پرونده B-12370</t>
  </si>
  <si>
    <t>99/08/22</t>
  </si>
  <si>
    <t>طبق واردات B-12370</t>
  </si>
  <si>
    <t>1 ست کسری</t>
  </si>
  <si>
    <t xml:space="preserve">فولاد خراسان </t>
  </si>
  <si>
    <t>99/08/25</t>
  </si>
  <si>
    <t>99/08/27</t>
  </si>
  <si>
    <t>99/08/28</t>
  </si>
  <si>
    <t xml:space="preserve">ریخته گری فولاد طبرستان </t>
  </si>
  <si>
    <t>99/09/05</t>
  </si>
  <si>
    <t>M1234</t>
  </si>
  <si>
    <t xml:space="preserve">نظم آوران صنعت معدن گل گهر </t>
  </si>
  <si>
    <t>99/09/12</t>
  </si>
  <si>
    <t>M1235</t>
  </si>
  <si>
    <t>99/09/11</t>
  </si>
  <si>
    <t>شیمی بافت</t>
  </si>
  <si>
    <t>99/09/20</t>
  </si>
  <si>
    <t>99/09/22</t>
  </si>
  <si>
    <t>99/09/23</t>
  </si>
  <si>
    <t>99/09/30</t>
  </si>
  <si>
    <t>M1237</t>
  </si>
  <si>
    <t>99/09/27</t>
  </si>
  <si>
    <t>99/10/04</t>
  </si>
  <si>
    <t>سینا تجارت گیتی</t>
  </si>
  <si>
    <t>99/10/08</t>
  </si>
  <si>
    <t>پتروشیمی مبین انرژی خلیج فارس</t>
  </si>
  <si>
    <t>99/10/13</t>
  </si>
  <si>
    <t>M1238</t>
  </si>
  <si>
    <t>99/10/15</t>
  </si>
  <si>
    <t>99/10/17</t>
  </si>
  <si>
    <t>M1239</t>
  </si>
  <si>
    <t>99/10/24</t>
  </si>
  <si>
    <t>M1240</t>
  </si>
  <si>
    <t>99/10/18</t>
  </si>
  <si>
    <t xml:space="preserve">تیرگان کیمیای نوین اروند </t>
  </si>
  <si>
    <t>رای صنعت توس</t>
  </si>
  <si>
    <t xml:space="preserve">تولید برق شهید منتظری </t>
  </si>
  <si>
    <t>99/10/30</t>
  </si>
  <si>
    <t xml:space="preserve">برق منطقه ای تهران - سیاه بیشه </t>
  </si>
  <si>
    <t>99/11/04</t>
  </si>
  <si>
    <t>M1241</t>
  </si>
  <si>
    <t>99/11/07</t>
  </si>
  <si>
    <t>M1242</t>
  </si>
  <si>
    <t xml:space="preserve">فروشگاه پرورش غ رسمی </t>
  </si>
  <si>
    <t>M1243</t>
  </si>
  <si>
    <t>99/11/08</t>
  </si>
  <si>
    <t>M1244</t>
  </si>
  <si>
    <t>99/11/05</t>
  </si>
  <si>
    <t>99/11/12</t>
  </si>
  <si>
    <t>M1245</t>
  </si>
  <si>
    <t>99/11/15</t>
  </si>
  <si>
    <t>M1246</t>
  </si>
  <si>
    <t>M1247</t>
  </si>
  <si>
    <t>99/11/26</t>
  </si>
  <si>
    <t>M1248</t>
  </si>
  <si>
    <t>99/11/21</t>
  </si>
  <si>
    <t>خراب</t>
  </si>
  <si>
    <t xml:space="preserve">ابداع گران صنعت پارسه </t>
  </si>
  <si>
    <t>99/11/27</t>
  </si>
  <si>
    <t>99/11/29</t>
  </si>
  <si>
    <t>M1249</t>
  </si>
  <si>
    <t>99/11/30</t>
  </si>
  <si>
    <t>99/12/03</t>
  </si>
  <si>
    <t>M1250</t>
  </si>
  <si>
    <t>99/12/04</t>
  </si>
  <si>
    <t xml:space="preserve">پتروشیمی بندر امام </t>
  </si>
  <si>
    <t>99/12/06</t>
  </si>
  <si>
    <t>M1251</t>
  </si>
  <si>
    <t>99/12/10</t>
  </si>
  <si>
    <t>M1252</t>
  </si>
  <si>
    <t>99/12/13</t>
  </si>
  <si>
    <t>M1253</t>
  </si>
  <si>
    <t>99/12/17</t>
  </si>
  <si>
    <t>M1254</t>
  </si>
  <si>
    <t>M1255</t>
  </si>
  <si>
    <t>99/12/20</t>
  </si>
  <si>
    <t>M1256</t>
  </si>
  <si>
    <t>99/12/24</t>
  </si>
  <si>
    <t>M1257</t>
  </si>
  <si>
    <t xml:space="preserve">بهره برداری و تعمیرات نیروگاه مپنا </t>
  </si>
  <si>
    <t>99/12/27</t>
  </si>
  <si>
    <t>1400/01/18</t>
  </si>
  <si>
    <t>M1258</t>
  </si>
  <si>
    <t>1400/01/23</t>
  </si>
  <si>
    <t>M1259</t>
  </si>
  <si>
    <t>1400/01/19</t>
  </si>
  <si>
    <t xml:space="preserve">مجتمع جهان فولاد سیرجان </t>
  </si>
  <si>
    <t>مجتمع جهان فولاد سیرجان</t>
  </si>
  <si>
    <t>1400/01/29</t>
  </si>
  <si>
    <t>M1260</t>
  </si>
  <si>
    <t>1400/02/01</t>
  </si>
  <si>
    <t>M1261</t>
  </si>
  <si>
    <t>1400/02/05</t>
  </si>
  <si>
    <t>M1262</t>
  </si>
  <si>
    <t>M1263</t>
  </si>
  <si>
    <t>1400/02/08</t>
  </si>
  <si>
    <t>M1264</t>
  </si>
  <si>
    <t>1400/02/02</t>
  </si>
  <si>
    <t>پتروشیمی بوعلی</t>
  </si>
  <si>
    <t>1400/02/06</t>
  </si>
  <si>
    <t>1400/02/19</t>
  </si>
  <si>
    <t>M1265</t>
  </si>
  <si>
    <t>رفیعی - اراک</t>
  </si>
  <si>
    <t>M1266</t>
  </si>
  <si>
    <t>1400/02/22</t>
  </si>
  <si>
    <t>M1267</t>
  </si>
  <si>
    <t>M1268</t>
  </si>
  <si>
    <t>1400/02/26</t>
  </si>
  <si>
    <t>M1269</t>
  </si>
  <si>
    <t>B-12475</t>
  </si>
  <si>
    <t xml:space="preserve">گاز فجر جم </t>
  </si>
  <si>
    <t xml:space="preserve">پرونده ارزی فاکتور ندارد </t>
  </si>
  <si>
    <t>M1270</t>
  </si>
  <si>
    <t>کالای صنعتی پرگاس غ رسمی</t>
  </si>
  <si>
    <t>1400/02/20</t>
  </si>
  <si>
    <t xml:space="preserve">پالایش نفت کرمانشاه </t>
  </si>
  <si>
    <t>تهران قطعه</t>
  </si>
  <si>
    <t>1400/02/27</t>
  </si>
  <si>
    <t xml:space="preserve">توسعه کالا اسپادانا </t>
  </si>
  <si>
    <t>1400/02/28</t>
  </si>
  <si>
    <t>1400/03/09</t>
  </si>
  <si>
    <t>M1273</t>
  </si>
  <si>
    <t>1400/03/05</t>
  </si>
  <si>
    <t>1400/03/19</t>
  </si>
  <si>
    <t>M1274</t>
  </si>
  <si>
    <t>1400/03/20</t>
  </si>
  <si>
    <t>1400/03/23</t>
  </si>
  <si>
    <t>M1275</t>
  </si>
  <si>
    <t>1400/03/26</t>
  </si>
  <si>
    <t>M1276</t>
  </si>
  <si>
    <t>1400/03/27</t>
  </si>
  <si>
    <t>1400/04/02</t>
  </si>
  <si>
    <t>M1277</t>
  </si>
  <si>
    <t>M1278</t>
  </si>
  <si>
    <t>مدیریت و بهره برداری پترو پارس POMC</t>
  </si>
  <si>
    <t>1400/04/06</t>
  </si>
  <si>
    <t>M1279</t>
  </si>
  <si>
    <t xml:space="preserve">جامانده بوده است </t>
  </si>
  <si>
    <t>صفر (11 عدد base داریم)</t>
  </si>
  <si>
    <t>1400/04/09</t>
  </si>
  <si>
    <t>M1280</t>
  </si>
  <si>
    <t>انبار 23 عدد قابل فروش</t>
  </si>
  <si>
    <t>1400/04/14</t>
  </si>
  <si>
    <t>واردات پرونده B-12370 پارت دوم</t>
  </si>
  <si>
    <t>1400/04/16</t>
  </si>
  <si>
    <t>1400/04/20</t>
  </si>
  <si>
    <t>فولاد طبرستان</t>
  </si>
  <si>
    <t>1400/04/22</t>
  </si>
  <si>
    <t>1400/04/23</t>
  </si>
  <si>
    <t>B-12375</t>
  </si>
  <si>
    <t>پرونده ارزی فاکتور ندارد</t>
  </si>
  <si>
    <t>M1282</t>
  </si>
  <si>
    <t>1400/04/27</t>
  </si>
  <si>
    <t>M1283</t>
  </si>
  <si>
    <t>1400/04/24</t>
  </si>
  <si>
    <t>1400/04/29</t>
  </si>
  <si>
    <t>1400/05/05</t>
  </si>
  <si>
    <t>بابت ابطال فاکتور 5986 فولاد خراسان</t>
  </si>
  <si>
    <t>1400/05/06</t>
  </si>
  <si>
    <t>M1284</t>
  </si>
  <si>
    <t xml:space="preserve">سیمان نهاوند </t>
  </si>
  <si>
    <t>1400/05/10</t>
  </si>
  <si>
    <t>M1285</t>
  </si>
  <si>
    <t>1400/05/13</t>
  </si>
  <si>
    <t>M1286</t>
  </si>
  <si>
    <t>1400/05/11</t>
  </si>
  <si>
    <t>1400/05/17</t>
  </si>
  <si>
    <t>1400/05/20</t>
  </si>
  <si>
    <t>M1287</t>
  </si>
  <si>
    <t>M1288</t>
  </si>
  <si>
    <t>1400/05/19</t>
  </si>
  <si>
    <t>1400/05/24</t>
  </si>
  <si>
    <t>M1290</t>
  </si>
  <si>
    <t>M1291</t>
  </si>
  <si>
    <t>1400/05/31</t>
  </si>
  <si>
    <t>M1292</t>
  </si>
  <si>
    <t>1400/05/23</t>
  </si>
  <si>
    <t>1400/06/10</t>
  </si>
  <si>
    <t>M1293</t>
  </si>
  <si>
    <t>1400/06/04</t>
  </si>
  <si>
    <t>1400/06/07</t>
  </si>
  <si>
    <t>1400/06/08</t>
  </si>
  <si>
    <t>1400/06/11</t>
  </si>
  <si>
    <t>پتروشیمی بوشهر</t>
  </si>
  <si>
    <t>1400/06/15</t>
  </si>
  <si>
    <t>M1294</t>
  </si>
  <si>
    <t>1400/06/16</t>
  </si>
  <si>
    <t>1400/06/20</t>
  </si>
  <si>
    <t>1400/06/24</t>
  </si>
  <si>
    <t>1400/06/31</t>
  </si>
  <si>
    <t>1400/07/07</t>
  </si>
  <si>
    <t>M1295</t>
  </si>
  <si>
    <t>1400/07/11</t>
  </si>
  <si>
    <t>1400/07/14</t>
  </si>
  <si>
    <t>1400/07/18</t>
  </si>
  <si>
    <t>M1296</t>
  </si>
  <si>
    <t>1400/07/21</t>
  </si>
  <si>
    <t xml:space="preserve">قوطی سازی آلومینیوم کاوه </t>
  </si>
  <si>
    <t>1400/07/25</t>
  </si>
  <si>
    <t>1400/08/02</t>
  </si>
  <si>
    <t>1400/08/05</t>
  </si>
  <si>
    <t>1400/08/11</t>
  </si>
  <si>
    <t>M1299</t>
  </si>
  <si>
    <t>مهندسی فرآیند ناران پارسیس</t>
  </si>
  <si>
    <t>1400/08/23</t>
  </si>
  <si>
    <t>M1302</t>
  </si>
  <si>
    <t>1400/09/01</t>
  </si>
  <si>
    <t xml:space="preserve">فولاد سفید دشت </t>
  </si>
  <si>
    <t>1400/09/02</t>
  </si>
  <si>
    <t>برق منطقه ای تهران</t>
  </si>
  <si>
    <t>1400/08/30</t>
  </si>
  <si>
    <t>M1303</t>
  </si>
  <si>
    <t>1400/09/07</t>
  </si>
  <si>
    <t>M1304</t>
  </si>
  <si>
    <t>1400/09/13</t>
  </si>
  <si>
    <t>M1305</t>
  </si>
  <si>
    <t>M1306</t>
  </si>
  <si>
    <t>1400/09/10</t>
  </si>
  <si>
    <t>1400/09/15</t>
  </si>
  <si>
    <t>1400/09/17</t>
  </si>
  <si>
    <t>1400/09/18</t>
  </si>
  <si>
    <t>نیکا کمپرسور</t>
  </si>
  <si>
    <t>1400/09/21</t>
  </si>
  <si>
    <t>1400/09/29</t>
  </si>
  <si>
    <t>M1307</t>
  </si>
  <si>
    <t>1400/10/01</t>
  </si>
  <si>
    <t>M1308</t>
  </si>
  <si>
    <t>1400/10/02</t>
  </si>
  <si>
    <t xml:space="preserve">واردات پرونده B-12521 </t>
  </si>
  <si>
    <t>واردات پرونده B-12521</t>
  </si>
  <si>
    <t>1400/09/22</t>
  </si>
  <si>
    <t>فولاد مبارکه اصفهان</t>
  </si>
  <si>
    <t>1400/10/08</t>
  </si>
  <si>
    <t>پرونده ارزی</t>
  </si>
  <si>
    <t>1400/10/07</t>
  </si>
  <si>
    <t>M1310</t>
  </si>
  <si>
    <t>1400/10/09</t>
  </si>
  <si>
    <t xml:space="preserve">شرکت مدرن کاغذ سبز </t>
  </si>
  <si>
    <t>1400/10/12</t>
  </si>
  <si>
    <t>M1311</t>
  </si>
  <si>
    <t>1400/10/13</t>
  </si>
  <si>
    <t>M1312</t>
  </si>
  <si>
    <t>طبق صورت جلسه 1400.8.8</t>
  </si>
  <si>
    <t>طبق صورتجلسه 1400.8.8</t>
  </si>
  <si>
    <t xml:space="preserve">طبق صورتجلسه 1400.8.8 </t>
  </si>
  <si>
    <t>بر اساست صوتجلسه 1400.8.8</t>
  </si>
  <si>
    <t>1400/10/15</t>
  </si>
  <si>
    <t>M1313</t>
  </si>
  <si>
    <t>1400/10/18</t>
  </si>
  <si>
    <t xml:space="preserve">رایمند تجارت </t>
  </si>
  <si>
    <t>M1314</t>
  </si>
  <si>
    <t>M1315</t>
  </si>
  <si>
    <t>1400/10/20</t>
  </si>
  <si>
    <t>M1316</t>
  </si>
  <si>
    <t>روغن طلایی نیشابور</t>
  </si>
  <si>
    <t xml:space="preserve">سد و نیروگاه کارون </t>
  </si>
  <si>
    <t>1400/10/25</t>
  </si>
  <si>
    <t>M1317</t>
  </si>
  <si>
    <t>1400/10/27</t>
  </si>
  <si>
    <t>M1318</t>
  </si>
  <si>
    <t>1400/10/28</t>
  </si>
  <si>
    <t>M1319</t>
  </si>
  <si>
    <t>1400/10/22</t>
  </si>
  <si>
    <t xml:space="preserve">فروشگاه رفیعی </t>
  </si>
  <si>
    <t xml:space="preserve">سد و نیروگاه مارون </t>
  </si>
  <si>
    <t>1400/10/29</t>
  </si>
  <si>
    <t>M1320</t>
  </si>
  <si>
    <t>1400/11/04</t>
  </si>
  <si>
    <t>M1321</t>
  </si>
  <si>
    <t>M1322</t>
  </si>
  <si>
    <t>1400/11/06</t>
  </si>
  <si>
    <t>M1323</t>
  </si>
  <si>
    <t>1400/11/03</t>
  </si>
  <si>
    <t>1400/11/05</t>
  </si>
  <si>
    <t xml:space="preserve">فولاد طبرستان </t>
  </si>
  <si>
    <t>1400/11/09</t>
  </si>
  <si>
    <t>M1324</t>
  </si>
  <si>
    <t>1400/11/10</t>
  </si>
  <si>
    <t>M1325</t>
  </si>
  <si>
    <t>رایمند تجارت - غ رسمی</t>
  </si>
  <si>
    <t>M1326</t>
  </si>
  <si>
    <t>مهندسی خاور طوس</t>
  </si>
  <si>
    <t>1400/11/13</t>
  </si>
  <si>
    <t>M1327</t>
  </si>
  <si>
    <t>M1328</t>
  </si>
  <si>
    <t>1400/11/18</t>
  </si>
  <si>
    <t>M1329</t>
  </si>
  <si>
    <t>1400/11/20</t>
  </si>
  <si>
    <t>M1330</t>
  </si>
  <si>
    <t>M1331</t>
  </si>
  <si>
    <t>1400/11/24</t>
  </si>
  <si>
    <t>M1332</t>
  </si>
  <si>
    <t>1400/11/14</t>
  </si>
  <si>
    <t xml:space="preserve">خمیر کاغذ اترک </t>
  </si>
  <si>
    <t>1400/11/19</t>
  </si>
  <si>
    <t>1400/11/27</t>
  </si>
  <si>
    <t>M1333</t>
  </si>
  <si>
    <t>شرکت نفت ستاره خلیج فارس</t>
  </si>
  <si>
    <t xml:space="preserve">برق منطقه ای تهران </t>
  </si>
  <si>
    <t>1400/12/02</t>
  </si>
  <si>
    <t>M1335</t>
  </si>
  <si>
    <t>1400/12/04</t>
  </si>
  <si>
    <t>M1336</t>
  </si>
  <si>
    <t>1400/12/08</t>
  </si>
  <si>
    <t>1400/12/09</t>
  </si>
  <si>
    <t>1400/12/16</t>
  </si>
  <si>
    <t>M1338</t>
  </si>
  <si>
    <t>1400/12/17</t>
  </si>
  <si>
    <t>M1339</t>
  </si>
  <si>
    <t>1400/12/21</t>
  </si>
  <si>
    <t xml:space="preserve">کشتی سازی فراساحل </t>
  </si>
  <si>
    <t>واردات پرونده B-12521 / پارت دوم</t>
  </si>
  <si>
    <t>1400/12/24</t>
  </si>
  <si>
    <t xml:space="preserve">واردات پرونده B-12521/ پارت دوم </t>
  </si>
  <si>
    <t>1400/12/23</t>
  </si>
  <si>
    <t>رایمند تجارت</t>
  </si>
  <si>
    <t>M1340</t>
  </si>
  <si>
    <t>M1341</t>
  </si>
  <si>
    <t>M1342</t>
  </si>
  <si>
    <t>1400/12/25</t>
  </si>
  <si>
    <t>M1343</t>
  </si>
  <si>
    <t>دانیال عبدالهی غ رسمی</t>
  </si>
  <si>
    <t>1401/01/15</t>
  </si>
  <si>
    <t>M1344</t>
  </si>
  <si>
    <t>1401/01/16</t>
  </si>
  <si>
    <t>1401/01/17</t>
  </si>
  <si>
    <t>1401/01/22</t>
  </si>
  <si>
    <t>M1345</t>
  </si>
  <si>
    <t>1401/01/21</t>
  </si>
  <si>
    <t>1401/01/28</t>
  </si>
  <si>
    <t>1401/01/29</t>
  </si>
  <si>
    <t>آب نیرو</t>
  </si>
  <si>
    <t>1401/01/30</t>
  </si>
  <si>
    <t>1401/02/05</t>
  </si>
  <si>
    <t>1401/01/07</t>
  </si>
  <si>
    <t>M1347</t>
  </si>
  <si>
    <t xml:space="preserve">خطوط لوله و مخابرات نفت خوزستان </t>
  </si>
  <si>
    <t>1401/02/08</t>
  </si>
  <si>
    <t>1401/02/10</t>
  </si>
  <si>
    <t>M1348</t>
  </si>
  <si>
    <t>1401/02/11</t>
  </si>
  <si>
    <t>M1350</t>
  </si>
  <si>
    <t>1401/02/15</t>
  </si>
  <si>
    <t>1401/02/17</t>
  </si>
  <si>
    <t>8 ست خراب</t>
  </si>
  <si>
    <t xml:space="preserve">قابل استفاده نیست </t>
  </si>
  <si>
    <t>1401/02/24</t>
  </si>
  <si>
    <t>M1351</t>
  </si>
  <si>
    <t>1401/02/21</t>
  </si>
  <si>
    <t>1401/02/22</t>
  </si>
  <si>
    <t xml:space="preserve">شرکت دنیای صنعت دانیال </t>
  </si>
  <si>
    <t>1401/02/28</t>
  </si>
  <si>
    <t>M1352</t>
  </si>
  <si>
    <t>1401/02/29</t>
  </si>
  <si>
    <t>M1353</t>
  </si>
  <si>
    <t>پرونده ارزی (فاکتور 6324)</t>
  </si>
  <si>
    <t>1401/02/31</t>
  </si>
  <si>
    <t>1401/03/02</t>
  </si>
  <si>
    <t>1401/03/04</t>
  </si>
  <si>
    <t>1401/03/08</t>
  </si>
  <si>
    <t>M1354</t>
  </si>
  <si>
    <t>1401/03/11</t>
  </si>
  <si>
    <t>M1355</t>
  </si>
  <si>
    <t>1401/03/09</t>
  </si>
  <si>
    <t>1401/03/18</t>
  </si>
  <si>
    <t>1401/03/28</t>
  </si>
  <si>
    <t>1401/04/04</t>
  </si>
  <si>
    <t>1401/04/07</t>
  </si>
  <si>
    <t>انتقال گاز ایران منطقه 3</t>
  </si>
  <si>
    <t>1401/04/12</t>
  </si>
  <si>
    <t>1401/04/25</t>
  </si>
  <si>
    <t>پویا پژوهش باختر</t>
  </si>
  <si>
    <t>طبق صورت جلسه 8/8/1400</t>
  </si>
  <si>
    <t>1401/05/12</t>
  </si>
  <si>
    <t>واردات پرونده 12630</t>
  </si>
  <si>
    <t>M1357</t>
  </si>
  <si>
    <t>1121 (3 Kg)</t>
  </si>
  <si>
    <t>1401/05/18</t>
  </si>
  <si>
    <t>M1358</t>
  </si>
  <si>
    <t>1401/05/19</t>
  </si>
  <si>
    <t>M1359</t>
  </si>
  <si>
    <t>1401/05/24</t>
  </si>
  <si>
    <t>M1360</t>
  </si>
  <si>
    <t>1401/05/25</t>
  </si>
  <si>
    <t>B-12677</t>
  </si>
  <si>
    <t xml:space="preserve">اقلام معیوب بوده </t>
  </si>
  <si>
    <t>ارزی</t>
  </si>
  <si>
    <t>1401/05/06</t>
  </si>
  <si>
    <t>1401/05/26</t>
  </si>
  <si>
    <t xml:space="preserve">شرکت سیمیا صنعت توسن </t>
  </si>
  <si>
    <t>پیران پلیمر پارس آران</t>
  </si>
  <si>
    <t>شرکت پالایش نفت اصفهان</t>
  </si>
  <si>
    <t>شرکت پتروشیمی غدیر</t>
  </si>
  <si>
    <t>1401/06/02</t>
  </si>
  <si>
    <t>M1362</t>
  </si>
  <si>
    <t>خ محمدی نیا - غ رسمی</t>
  </si>
  <si>
    <t>1401/05/30</t>
  </si>
  <si>
    <t>1401/06/07</t>
  </si>
  <si>
    <t>M1363</t>
  </si>
  <si>
    <t>1401/06/08</t>
  </si>
  <si>
    <t>فولاد مازندران</t>
  </si>
  <si>
    <t>1401/06/12</t>
  </si>
  <si>
    <t>تولید برق آذربایجان غربی</t>
  </si>
  <si>
    <t>M1364</t>
  </si>
  <si>
    <t>1401/06/13</t>
  </si>
  <si>
    <t>1401/06/16</t>
  </si>
  <si>
    <t>1401/06/21</t>
  </si>
  <si>
    <t>M1365</t>
  </si>
  <si>
    <t>1401/06/23</t>
  </si>
  <si>
    <t>M1366</t>
  </si>
  <si>
    <t>1401/06/27</t>
  </si>
  <si>
    <t>M1367</t>
  </si>
  <si>
    <t>1401/06/22</t>
  </si>
  <si>
    <t>1401/06/24</t>
  </si>
  <si>
    <t>پویا شیمی نقش جهان</t>
  </si>
  <si>
    <t>1401/06/30</t>
  </si>
  <si>
    <t>1401/06/28</t>
  </si>
  <si>
    <t>1401/07/04</t>
  </si>
  <si>
    <t>1401/07/12</t>
  </si>
  <si>
    <t>M1368</t>
  </si>
  <si>
    <t>M1369</t>
  </si>
  <si>
    <t>M1370</t>
  </si>
  <si>
    <t>1401/07/11</t>
  </si>
  <si>
    <t xml:space="preserve">پالایش نفت آبادان </t>
  </si>
  <si>
    <t>1401/07/14</t>
  </si>
  <si>
    <t>1401/07/16</t>
  </si>
  <si>
    <t>1401/07/18</t>
  </si>
  <si>
    <t>ایران زاک</t>
  </si>
  <si>
    <t>1401/07/20</t>
  </si>
  <si>
    <t>1401/07/24</t>
  </si>
  <si>
    <t>M1371</t>
  </si>
  <si>
    <t>1401/07/26</t>
  </si>
  <si>
    <t>M1372</t>
  </si>
  <si>
    <t>1401/07/28</t>
  </si>
  <si>
    <t>فولاد اکسین خوزستان</t>
  </si>
  <si>
    <t>1401/08/02</t>
  </si>
  <si>
    <t>1401/08/07</t>
  </si>
  <si>
    <t>M1373</t>
  </si>
  <si>
    <t>1401/08/09</t>
  </si>
  <si>
    <t>1401/08/11</t>
  </si>
  <si>
    <t>M1374</t>
  </si>
  <si>
    <t>M1375</t>
  </si>
  <si>
    <t>1401/08/21</t>
  </si>
  <si>
    <t>M1376</t>
  </si>
  <si>
    <t>M1377</t>
  </si>
  <si>
    <t>1401/08/17</t>
  </si>
  <si>
    <t>1401/08/22</t>
  </si>
  <si>
    <t xml:space="preserve">شرکت پمپ های صنعتی ایران </t>
  </si>
  <si>
    <t>شرکت پتروشیمی پارس</t>
  </si>
  <si>
    <t>موجود 64 ست کامل + 30 ست base</t>
  </si>
  <si>
    <t>1401/08/23</t>
  </si>
  <si>
    <t>1401/08/28</t>
  </si>
  <si>
    <t>M1378</t>
  </si>
  <si>
    <t>1401/08/29</t>
  </si>
  <si>
    <t>بدیع صنعت مهرآفرین</t>
  </si>
  <si>
    <t>بهره برداری نفت و گاز مارون</t>
  </si>
  <si>
    <t>1401/09/08</t>
  </si>
  <si>
    <t>M1379</t>
  </si>
  <si>
    <t>1401/09/12</t>
  </si>
  <si>
    <t>1401/09/20</t>
  </si>
  <si>
    <t>1401/09/21</t>
  </si>
  <si>
    <t>1401/09/28</t>
  </si>
  <si>
    <t>1401/09/29</t>
  </si>
  <si>
    <t>M1380</t>
  </si>
  <si>
    <t>1401/10/13</t>
  </si>
  <si>
    <t>M1381</t>
  </si>
  <si>
    <t>فنی و مهندسی مثلث</t>
  </si>
  <si>
    <t>M1382</t>
  </si>
  <si>
    <t>1401/10/20</t>
  </si>
  <si>
    <t>1401/10/25</t>
  </si>
  <si>
    <t>1401/10/28</t>
  </si>
  <si>
    <t>M1383</t>
  </si>
  <si>
    <t>1401/11/01</t>
  </si>
  <si>
    <t>1401/11/02</t>
  </si>
  <si>
    <t>1401/11/18</t>
  </si>
  <si>
    <t>M1385</t>
  </si>
  <si>
    <t>1401/11/23</t>
  </si>
  <si>
    <t>1401/11/25</t>
  </si>
  <si>
    <t>M1386</t>
  </si>
  <si>
    <t>1401/11/26</t>
  </si>
  <si>
    <t>1401/12/01</t>
  </si>
  <si>
    <t>محنایی</t>
  </si>
  <si>
    <t>1401/12/02</t>
  </si>
  <si>
    <t>1401/12/04</t>
  </si>
  <si>
    <t>1401/12/21</t>
  </si>
  <si>
    <t>M1388</t>
  </si>
  <si>
    <t>1401/12/23</t>
  </si>
  <si>
    <t>M1389</t>
  </si>
  <si>
    <t>1402/01/19</t>
  </si>
  <si>
    <t xml:space="preserve">نصب و تعمیر نیروگاه برق آبی خوزستان </t>
  </si>
  <si>
    <t>1402/01/20</t>
  </si>
  <si>
    <t>1402/01/22</t>
  </si>
  <si>
    <t>M1390</t>
  </si>
  <si>
    <t>1402/01/27</t>
  </si>
  <si>
    <t xml:space="preserve">نیروگاه رامین اهواز </t>
  </si>
  <si>
    <t>1402/01/29</t>
  </si>
  <si>
    <t>M1391</t>
  </si>
  <si>
    <t>1401/12/14</t>
  </si>
  <si>
    <t>1402/02/04</t>
  </si>
  <si>
    <t>1402/02/06</t>
  </si>
  <si>
    <t>1402/02/10</t>
  </si>
  <si>
    <t>1402/02/12</t>
  </si>
  <si>
    <t>1402/02/16</t>
  </si>
  <si>
    <t>M1392</t>
  </si>
  <si>
    <t>1402/02/24</t>
  </si>
  <si>
    <t>1402/03/09</t>
  </si>
  <si>
    <t>1402/03/16</t>
  </si>
  <si>
    <t>1402/03/27</t>
  </si>
  <si>
    <t>M1394</t>
  </si>
  <si>
    <t>1402/04/05</t>
  </si>
  <si>
    <t>واردات پرونده 12721</t>
  </si>
  <si>
    <t>واردات 12721</t>
  </si>
  <si>
    <t>1402/04/07</t>
  </si>
  <si>
    <t>M1395</t>
  </si>
  <si>
    <t>1402/04/11</t>
  </si>
  <si>
    <t>1402/04/12</t>
  </si>
  <si>
    <t>1402/04/13</t>
  </si>
  <si>
    <t>1402/04/17</t>
  </si>
  <si>
    <t>M1396</t>
  </si>
  <si>
    <t>1402/04/19</t>
  </si>
  <si>
    <t>M1397</t>
  </si>
  <si>
    <t>1402/04/20</t>
  </si>
  <si>
    <t>1402/04/27</t>
  </si>
  <si>
    <t>M1398</t>
  </si>
  <si>
    <t>1402/04/28</t>
  </si>
  <si>
    <t>M1399</t>
  </si>
  <si>
    <t>1402/05/01</t>
  </si>
  <si>
    <t>1402/05/03</t>
  </si>
  <si>
    <t xml:space="preserve">دماوند انرژی عسلویه </t>
  </si>
  <si>
    <t xml:space="preserve">پالایشگاه اصفهان </t>
  </si>
  <si>
    <t>1402/05/08</t>
  </si>
  <si>
    <t>M1400</t>
  </si>
  <si>
    <t>1402/05/09</t>
  </si>
  <si>
    <t xml:space="preserve">سیمان بهبهان </t>
  </si>
  <si>
    <t>1402/05/10</t>
  </si>
  <si>
    <t>M1401</t>
  </si>
  <si>
    <t>1402/05/11</t>
  </si>
  <si>
    <t>1402/05/15</t>
  </si>
  <si>
    <t>1402/05/18</t>
  </si>
  <si>
    <t>1402/05/22</t>
  </si>
  <si>
    <t>1402/05/24</t>
  </si>
  <si>
    <t>M1403</t>
  </si>
  <si>
    <t>1402/05/25</t>
  </si>
  <si>
    <t>1402/05/31</t>
  </si>
  <si>
    <t>M1404</t>
  </si>
  <si>
    <t>1402/06/01</t>
  </si>
  <si>
    <t>1402/06/04</t>
  </si>
  <si>
    <t>M1405</t>
  </si>
  <si>
    <t xml:space="preserve">شرکت پیشگامان فولاد شرق (قائنات) </t>
  </si>
  <si>
    <t>1402/06/05</t>
  </si>
  <si>
    <t>1402/06/07</t>
  </si>
  <si>
    <t xml:space="preserve">پالایش گاز فجر جم </t>
  </si>
  <si>
    <t>1402/06/08</t>
  </si>
  <si>
    <t>1402/06/12</t>
  </si>
  <si>
    <t>توسعه معدنی صبانور</t>
  </si>
  <si>
    <t>توسعه معدنی و صنعتی صبانور</t>
  </si>
  <si>
    <t>1402/06/14</t>
  </si>
  <si>
    <t>M1406</t>
  </si>
  <si>
    <t>آقای ایزدی غ رسمی</t>
  </si>
  <si>
    <t>1402/06/16</t>
  </si>
  <si>
    <t>1402/06/20</t>
  </si>
  <si>
    <t>M1407</t>
  </si>
  <si>
    <t>1402/06/26</t>
  </si>
  <si>
    <t>M1408</t>
  </si>
  <si>
    <t>1402/06/28</t>
  </si>
  <si>
    <t>M1409</t>
  </si>
  <si>
    <t>ایزدی غ رسمی</t>
  </si>
  <si>
    <t>1402/07/05</t>
  </si>
  <si>
    <t>M1410</t>
  </si>
  <si>
    <t>1402/07/06</t>
  </si>
  <si>
    <t>1402/07/09</t>
  </si>
  <si>
    <t>1402/07/12</t>
  </si>
  <si>
    <t>M1411</t>
  </si>
  <si>
    <t>1402/07/15</t>
  </si>
  <si>
    <t>1402/07/22</t>
  </si>
  <si>
    <t>آقای سنجری غ رسمی</t>
  </si>
  <si>
    <t>M1412</t>
  </si>
  <si>
    <t>1402/07/23</t>
  </si>
  <si>
    <t>1402/07/16</t>
  </si>
  <si>
    <t>1402/07/18</t>
  </si>
  <si>
    <t>1402/07/27</t>
  </si>
  <si>
    <t>مهندسی آریانیر</t>
  </si>
  <si>
    <t>1402/07/29</t>
  </si>
  <si>
    <t>M1413</t>
  </si>
  <si>
    <t>1402/08/02</t>
  </si>
  <si>
    <t>M1414</t>
  </si>
  <si>
    <t>مهندسی فولاد تکنیک</t>
  </si>
  <si>
    <t>1402/08/06</t>
  </si>
  <si>
    <t>M1415</t>
  </si>
  <si>
    <t>1402/08/07</t>
  </si>
  <si>
    <t>1402/08/09</t>
  </si>
  <si>
    <t>M1416</t>
  </si>
  <si>
    <t>1402/08/14</t>
  </si>
  <si>
    <t>M1417</t>
  </si>
  <si>
    <t>نمونه</t>
  </si>
  <si>
    <t xml:space="preserve"> فولاد خوزستان 12817</t>
  </si>
  <si>
    <t>1402/08/16</t>
  </si>
  <si>
    <t>M1418</t>
  </si>
  <si>
    <t xml:space="preserve">فاکتور 6698 ابطال شد </t>
  </si>
  <si>
    <t>1402/08/17</t>
  </si>
  <si>
    <t>1402/08/11</t>
  </si>
  <si>
    <t xml:space="preserve">پالایش نفت شازند </t>
  </si>
  <si>
    <t xml:space="preserve">مبین انرژی خلیج فارس </t>
  </si>
  <si>
    <t>1402/08/15</t>
  </si>
  <si>
    <t>1402/08/24</t>
  </si>
  <si>
    <t>آهن و فولاد غدیر ایرانیان</t>
  </si>
  <si>
    <t>1402/08/27</t>
  </si>
  <si>
    <t>M1419</t>
  </si>
  <si>
    <t>1402/08/29</t>
  </si>
  <si>
    <t>1402/8/30</t>
  </si>
  <si>
    <t>M1420</t>
  </si>
  <si>
    <t>1402/09/02</t>
  </si>
  <si>
    <t>M1421</t>
  </si>
  <si>
    <t>1402/09/07</t>
  </si>
  <si>
    <t xml:space="preserve">اکسیر پویان </t>
  </si>
  <si>
    <t xml:space="preserve">سیمیا صنعت توسن </t>
  </si>
  <si>
    <t>1402/09/15</t>
  </si>
  <si>
    <t>1402/09/19</t>
  </si>
  <si>
    <t>1402/09/18</t>
  </si>
  <si>
    <t>1402/09/21</t>
  </si>
  <si>
    <t>M1423</t>
  </si>
  <si>
    <t>1402/09/22</t>
  </si>
  <si>
    <t>1402/10/02</t>
  </si>
  <si>
    <t xml:space="preserve">کیمیا کالای اطلس </t>
  </si>
  <si>
    <t>1402/10/03</t>
  </si>
  <si>
    <t>M1424</t>
  </si>
  <si>
    <t>M1425</t>
  </si>
  <si>
    <t>1402/10/10</t>
  </si>
  <si>
    <t>M1426</t>
  </si>
  <si>
    <t>1402/10/11</t>
  </si>
  <si>
    <t>1402/10/16</t>
  </si>
  <si>
    <t>M1427</t>
  </si>
  <si>
    <t>1402/10/17</t>
  </si>
  <si>
    <t>1402/10/20</t>
  </si>
  <si>
    <t>عبدالهی غ رسمی</t>
  </si>
  <si>
    <t>M1428</t>
  </si>
  <si>
    <t>1402/10/23</t>
  </si>
  <si>
    <t>1402/10/24</t>
  </si>
  <si>
    <t>1402/10/26</t>
  </si>
  <si>
    <t>M1429</t>
  </si>
  <si>
    <t>آقای عبدلی غ رسمی</t>
  </si>
  <si>
    <t>M1430</t>
  </si>
  <si>
    <t>1402/11/01</t>
  </si>
  <si>
    <t>M1431</t>
  </si>
  <si>
    <t>1402/11/03</t>
  </si>
  <si>
    <t>1402/11/07</t>
  </si>
  <si>
    <t>1402/11/11</t>
  </si>
  <si>
    <t>1402/11/23</t>
  </si>
  <si>
    <t>1402/12/03</t>
  </si>
  <si>
    <t>الکترود پارس</t>
  </si>
  <si>
    <t>1402/12/09</t>
  </si>
  <si>
    <t>1402/12/16</t>
  </si>
  <si>
    <t>واردات پرونده 12871</t>
  </si>
  <si>
    <t>واردات 12871</t>
  </si>
  <si>
    <t>1402/12/116</t>
  </si>
  <si>
    <t>1402/12/17</t>
  </si>
  <si>
    <t>1402/12/22</t>
  </si>
  <si>
    <t>M1432</t>
  </si>
  <si>
    <t>1403/01/21</t>
  </si>
  <si>
    <t>M1433</t>
  </si>
  <si>
    <t>1403/01/29</t>
  </si>
  <si>
    <t>M1434</t>
  </si>
  <si>
    <t>ندارد</t>
  </si>
  <si>
    <t>بنیان طرح فولاد</t>
  </si>
  <si>
    <t>1403/02/04</t>
  </si>
  <si>
    <t>M1435</t>
  </si>
  <si>
    <t>1403/02/09</t>
  </si>
  <si>
    <t>1403/02/11</t>
  </si>
  <si>
    <t xml:space="preserve">واردات پرونده 12721 - پارت دوم </t>
  </si>
  <si>
    <t>1403/02/25</t>
  </si>
  <si>
    <t xml:space="preserve">واردات 12721 - پارت دوم </t>
  </si>
  <si>
    <t xml:space="preserve">واردات 12721- پارت دو </t>
  </si>
  <si>
    <t xml:space="preserve">تعداد 136 ست قابل فروش نیست </t>
  </si>
  <si>
    <t>واردات 12721 - پارت دو</t>
  </si>
  <si>
    <t>M1436</t>
  </si>
  <si>
    <t>1403/02/27</t>
  </si>
  <si>
    <t>M1437</t>
  </si>
  <si>
    <t xml:space="preserve">1251 (1 kg) </t>
  </si>
  <si>
    <t>1403/02/30</t>
  </si>
  <si>
    <t xml:space="preserve">نواندیشان سام </t>
  </si>
  <si>
    <t>همسوکنندگان صنعت و فن آوری آریا</t>
  </si>
  <si>
    <t>1403/02/31</t>
  </si>
  <si>
    <t>M1438</t>
  </si>
  <si>
    <t>1403/03/05</t>
  </si>
  <si>
    <t>M1439</t>
  </si>
  <si>
    <t>1403/03/08</t>
  </si>
  <si>
    <t>M1440</t>
  </si>
  <si>
    <t>1403/03/06</t>
  </si>
  <si>
    <t>1403/03/09</t>
  </si>
  <si>
    <t>1403/03/16</t>
  </si>
  <si>
    <t>1403/03/22</t>
  </si>
  <si>
    <t>M1441</t>
  </si>
  <si>
    <t>1403/03/20</t>
  </si>
  <si>
    <t>1403/02/21</t>
  </si>
  <si>
    <t>شرکت پتروشیمی بوشهر</t>
  </si>
  <si>
    <t>M1442</t>
  </si>
  <si>
    <t>1403/03/27</t>
  </si>
  <si>
    <t>فولاد خوزستان</t>
  </si>
  <si>
    <t>1403/03/29</t>
  </si>
  <si>
    <t xml:space="preserve">دو تا فاکتور 6849 و 6874 ابطال و فاکتور 6898 جایگزین شد </t>
  </si>
  <si>
    <t>1403/04/09</t>
  </si>
  <si>
    <t>1403/04/12</t>
  </si>
  <si>
    <t>M1443</t>
  </si>
  <si>
    <t>1403/04/16</t>
  </si>
  <si>
    <t>صفدر پور غ رسمی</t>
  </si>
  <si>
    <t>M1444</t>
  </si>
  <si>
    <t>1403/04/17</t>
  </si>
  <si>
    <t>1403/04/18</t>
  </si>
  <si>
    <t>1403/04/19</t>
  </si>
  <si>
    <t>M1445</t>
  </si>
  <si>
    <t>M1446</t>
  </si>
  <si>
    <t>1403/05/01</t>
  </si>
  <si>
    <t>1403/05/02</t>
  </si>
  <si>
    <t>M1447</t>
  </si>
  <si>
    <t>1403/05/03</t>
  </si>
  <si>
    <t>M1448</t>
  </si>
  <si>
    <t>1403/05/06</t>
  </si>
  <si>
    <t>سیمان دشتستان</t>
  </si>
  <si>
    <t>1403/05/13</t>
  </si>
  <si>
    <t xml:space="preserve">واردات پرونده 12721 - پارت سوم </t>
  </si>
  <si>
    <t xml:space="preserve">واردات 12721- پارت سوم </t>
  </si>
  <si>
    <t>واردات پرونده 12721 - پارت سوم</t>
  </si>
  <si>
    <t>1403/05/04</t>
  </si>
  <si>
    <t>1403/05/07</t>
  </si>
  <si>
    <t>1403/05/08</t>
  </si>
  <si>
    <t>1403/05/09</t>
  </si>
  <si>
    <t>1403/05/11</t>
  </si>
  <si>
    <t>1403/05/14</t>
  </si>
  <si>
    <t>کنترل خوردگی بازدار ایرانیان</t>
  </si>
  <si>
    <t>1403/05/17</t>
  </si>
  <si>
    <t>پگاه افراز</t>
  </si>
  <si>
    <t>1403/05/20</t>
  </si>
  <si>
    <t>1403/05/22</t>
  </si>
  <si>
    <t>M1449</t>
  </si>
  <si>
    <t xml:space="preserve">سینتک (سفارش فولاد خراسان) </t>
  </si>
  <si>
    <t xml:space="preserve">ندارد </t>
  </si>
  <si>
    <t xml:space="preserve">سینتک (فولاد خراسان) </t>
  </si>
  <si>
    <t>1403/05/23</t>
  </si>
  <si>
    <t>1403/05/25</t>
  </si>
  <si>
    <t>1403/05/27</t>
  </si>
  <si>
    <t>M1450</t>
  </si>
  <si>
    <t>پورسلمان غ رسمی</t>
  </si>
  <si>
    <t>M1451</t>
  </si>
  <si>
    <t>1403/05/28</t>
  </si>
  <si>
    <t>فاتح صنعت کیمیا</t>
  </si>
  <si>
    <t>ایران صدرا</t>
  </si>
  <si>
    <t>1403/05/30</t>
  </si>
  <si>
    <t>M1452</t>
  </si>
  <si>
    <t>1403/06/03</t>
  </si>
  <si>
    <t>صبا نور</t>
  </si>
  <si>
    <t>1403/06/06</t>
  </si>
  <si>
    <t>M1453</t>
  </si>
  <si>
    <t>1403/06/07</t>
  </si>
  <si>
    <t>1403/06/20</t>
  </si>
  <si>
    <t>1403/06/21</t>
  </si>
  <si>
    <t>1403/06/27</t>
  </si>
  <si>
    <t>M1454</t>
  </si>
  <si>
    <t>1403/06/25</t>
  </si>
  <si>
    <t>ماشین های کهربای خاورمیانه</t>
  </si>
  <si>
    <t>1403/07/03</t>
  </si>
  <si>
    <t>M1455</t>
  </si>
  <si>
    <t>1403/07/07</t>
  </si>
  <si>
    <t>M1456</t>
  </si>
  <si>
    <t>1403/7/04</t>
  </si>
  <si>
    <t>1403/07/04</t>
  </si>
  <si>
    <t>ابطال ف 6970</t>
  </si>
  <si>
    <t>1403/07/15</t>
  </si>
  <si>
    <t>مهندسی سهند چهلستون</t>
  </si>
  <si>
    <t>1403/07/19</t>
  </si>
  <si>
    <t>M1458</t>
  </si>
  <si>
    <t>1403/07/24</t>
  </si>
  <si>
    <t>M1459</t>
  </si>
  <si>
    <t>1403/07/28</t>
  </si>
  <si>
    <t>M1460</t>
  </si>
  <si>
    <t>1403/08/01</t>
  </si>
  <si>
    <t xml:space="preserve">صبا نور </t>
  </si>
  <si>
    <t>1403/08/05</t>
  </si>
  <si>
    <t>M1461</t>
  </si>
  <si>
    <t>1403/08/06</t>
  </si>
  <si>
    <t>1403/08/07</t>
  </si>
  <si>
    <t>1403/08/09</t>
  </si>
  <si>
    <t>1403/08/08</t>
  </si>
  <si>
    <t>M1462</t>
  </si>
  <si>
    <t>1403/08/13</t>
  </si>
  <si>
    <t>1403/08/15</t>
  </si>
  <si>
    <t>M1463</t>
  </si>
  <si>
    <t>1403/08/20</t>
  </si>
  <si>
    <t>1403/08/23</t>
  </si>
  <si>
    <t xml:space="preserve">آروین تأمین صنعت پویا </t>
  </si>
  <si>
    <t>M1464</t>
  </si>
  <si>
    <t>1403/08/29</t>
  </si>
  <si>
    <t>1403/09/03</t>
  </si>
  <si>
    <t>1403/09/06</t>
  </si>
  <si>
    <t xml:space="preserve">منطقه ویژه صنایع معدنی و فلزی هرمزگان </t>
  </si>
  <si>
    <t>1403/09/07</t>
  </si>
  <si>
    <t>1403/09/14</t>
  </si>
  <si>
    <t>فولاد روان شیر</t>
  </si>
  <si>
    <t>1403/09/20</t>
  </si>
  <si>
    <t>M1465</t>
  </si>
  <si>
    <t>1403/09/24</t>
  </si>
  <si>
    <t>M1467</t>
  </si>
  <si>
    <t>1403/10/01</t>
  </si>
  <si>
    <t>1403/10/03</t>
  </si>
  <si>
    <t>1403/10/05</t>
  </si>
  <si>
    <t>1403/10/19</t>
  </si>
  <si>
    <t xml:space="preserve">انرژی کار سپاهان </t>
  </si>
  <si>
    <t>1403/10/24</t>
  </si>
  <si>
    <t>1403/10/30</t>
  </si>
  <si>
    <t>خطوط لوله و مخابرات نفت مرکزی</t>
  </si>
  <si>
    <t xml:space="preserve">خطوط لوله و مخابرات نفت مرکزی </t>
  </si>
  <si>
    <t xml:space="preserve">نیروگاه نکا </t>
  </si>
  <si>
    <t>آبادراهان پارس</t>
  </si>
  <si>
    <t>1403/11/01</t>
  </si>
  <si>
    <t xml:space="preserve">یک کارتن بلزونا از بازار خریداری شده بوده </t>
  </si>
  <si>
    <t>1403/11/02</t>
  </si>
  <si>
    <t>1403/11/07</t>
  </si>
  <si>
    <t>M1468</t>
  </si>
  <si>
    <t>1403/11/10</t>
  </si>
  <si>
    <t>M1469</t>
  </si>
  <si>
    <t>1403/11/06</t>
  </si>
  <si>
    <t>1403/11/13</t>
  </si>
  <si>
    <t>M1470</t>
  </si>
  <si>
    <t>1403/12/01</t>
  </si>
  <si>
    <t xml:space="preserve">واردات 12721 - پارت چهارم </t>
  </si>
  <si>
    <t>واردات 12721 - پارت چهارم</t>
  </si>
  <si>
    <t xml:space="preserve">واردات 12721 - پارت چهارم  </t>
  </si>
  <si>
    <t>M1471</t>
  </si>
  <si>
    <t>1403/12/02</t>
  </si>
  <si>
    <t>1403/12/05</t>
  </si>
  <si>
    <t xml:space="preserve">پتروشیمی خارگ </t>
  </si>
  <si>
    <t>1403/12/07</t>
  </si>
  <si>
    <t>1403/12/08</t>
  </si>
  <si>
    <t>1403/12/14</t>
  </si>
  <si>
    <t>1403/12/18</t>
  </si>
  <si>
    <t xml:space="preserve">فاکتور اصلاح شده </t>
  </si>
  <si>
    <t>1403/12/20</t>
  </si>
  <si>
    <t>M1472</t>
  </si>
  <si>
    <t>آقای جهانگیری - غ رسمی</t>
  </si>
  <si>
    <t>M1473</t>
  </si>
  <si>
    <t>1403/12/21</t>
  </si>
  <si>
    <t xml:space="preserve">تکاب صنعت مهر </t>
  </si>
  <si>
    <t>1403/12/23</t>
  </si>
  <si>
    <t>M1474</t>
  </si>
  <si>
    <t>1404/01/20</t>
  </si>
  <si>
    <t>آروین تأمین صنعت پویا</t>
  </si>
  <si>
    <t>1404/01/23</t>
  </si>
  <si>
    <t>1404/01/30</t>
  </si>
  <si>
    <t>M1475</t>
  </si>
  <si>
    <t xml:space="preserve">واردات 12721 - پارت پنجم  </t>
  </si>
  <si>
    <t>1404/01/31</t>
  </si>
  <si>
    <t xml:space="preserve">واردات 12721 - پارت پنجم </t>
  </si>
  <si>
    <t>واردات پرونده 12721 - پارت پنجم</t>
  </si>
  <si>
    <t>واردات 12721 - پارت پنجم</t>
  </si>
  <si>
    <t>1404/01/27</t>
  </si>
  <si>
    <t>1404/01/28</t>
  </si>
  <si>
    <t>1404/02/02</t>
  </si>
  <si>
    <t>M1477</t>
  </si>
  <si>
    <t>1404/02/26</t>
  </si>
  <si>
    <t>1404/02/09</t>
  </si>
  <si>
    <t>M1478</t>
  </si>
  <si>
    <t>M1479</t>
  </si>
  <si>
    <t>1404/02/16</t>
  </si>
  <si>
    <t>M1480</t>
  </si>
  <si>
    <t xml:space="preserve">آروین تامین صنعت پویا </t>
  </si>
  <si>
    <t>1404/02/25</t>
  </si>
  <si>
    <t>1404/02/28</t>
  </si>
  <si>
    <t>M1482</t>
  </si>
  <si>
    <t>1404/02/27</t>
  </si>
  <si>
    <t>1404/02/30</t>
  </si>
  <si>
    <t>M1483</t>
  </si>
  <si>
    <t>1404/02/31</t>
  </si>
  <si>
    <t>M1484</t>
  </si>
  <si>
    <t>M1485</t>
  </si>
  <si>
    <t>1404/03/04</t>
  </si>
  <si>
    <t>عملیات انتقال گاز منطقه 6</t>
  </si>
  <si>
    <t>1404/03/06</t>
  </si>
  <si>
    <t>M1486</t>
  </si>
  <si>
    <t>1404/03/07</t>
  </si>
  <si>
    <t xml:space="preserve">واردات 12721 - پارت ششم  </t>
  </si>
  <si>
    <t xml:space="preserve">واردات 12721 - پارت ششم </t>
  </si>
  <si>
    <t>واردات پرونده 12721 - پارت ششم</t>
  </si>
  <si>
    <t>واردات 12721 - پارت ششم</t>
  </si>
  <si>
    <t>1404/03/10</t>
  </si>
  <si>
    <t>پالایش نفت شازند امام خمینی</t>
  </si>
  <si>
    <t>نظم آوران گل گهر</t>
  </si>
  <si>
    <t xml:space="preserve">پتروشیمی بوعلی سینا </t>
  </si>
  <si>
    <t>1404/03/13</t>
  </si>
  <si>
    <t>1404/03/17</t>
  </si>
  <si>
    <t xml:space="preserve">نور ویژه </t>
  </si>
  <si>
    <t>1404/03/20</t>
  </si>
  <si>
    <t>1404/03/21</t>
  </si>
  <si>
    <t>1404/04/01</t>
  </si>
  <si>
    <t>اکسیر صنعت باختری</t>
  </si>
  <si>
    <t>1404/04/07</t>
  </si>
  <si>
    <t>M1488</t>
  </si>
  <si>
    <t>1404/04/09</t>
  </si>
  <si>
    <t>1404/04/11</t>
  </si>
  <si>
    <t>1404/04/16</t>
  </si>
  <si>
    <t>1404/04/17</t>
  </si>
  <si>
    <t>1404/04/23</t>
  </si>
  <si>
    <t>1404/04/24</t>
  </si>
  <si>
    <t>M1489</t>
  </si>
  <si>
    <t>1404/04/26</t>
  </si>
  <si>
    <t xml:space="preserve">سهند چهلستون </t>
  </si>
  <si>
    <t>1404/03/18</t>
  </si>
  <si>
    <t>یک عدد کسری آزمایشگاه</t>
  </si>
  <si>
    <t>1404/05/04</t>
  </si>
  <si>
    <t>1404/05/11</t>
  </si>
  <si>
    <t>M1490</t>
  </si>
  <si>
    <t>1404/05/05</t>
  </si>
  <si>
    <t xml:space="preserve">فولاد سبا </t>
  </si>
  <si>
    <t>نمونه به آقای طالب زاده</t>
  </si>
  <si>
    <t>1404/05/15</t>
  </si>
  <si>
    <t>پتروشیمی فارابی</t>
  </si>
  <si>
    <t>1404/05/19</t>
  </si>
  <si>
    <t>1404/05/22</t>
  </si>
  <si>
    <t>1404/05/25</t>
  </si>
  <si>
    <t>M1491</t>
  </si>
  <si>
    <t>1404/05/26</t>
  </si>
  <si>
    <t>1404/05/27</t>
  </si>
  <si>
    <t>یاران راسا</t>
  </si>
  <si>
    <t>1404/05/28</t>
  </si>
  <si>
    <t>M1492</t>
  </si>
  <si>
    <t>1404/05/29</t>
  </si>
  <si>
    <t>انتقال گاز منطقه 6</t>
  </si>
  <si>
    <t xml:space="preserve">پارس جنوبی - پالایشگاه ششم </t>
  </si>
  <si>
    <t>1404/06/04</t>
  </si>
  <si>
    <t>1404/06/16</t>
  </si>
  <si>
    <t xml:space="preserve">جعفری - غ رسمی </t>
  </si>
  <si>
    <t>M1493</t>
  </si>
  <si>
    <t>1404/06/18</t>
  </si>
  <si>
    <t>M1494</t>
  </si>
  <si>
    <t>1404/06/25</t>
  </si>
  <si>
    <t>M1495</t>
  </si>
  <si>
    <t>M1496</t>
  </si>
  <si>
    <t>1404/07/02</t>
  </si>
  <si>
    <t>1404/07/05</t>
  </si>
  <si>
    <t>1404/07/13</t>
  </si>
  <si>
    <t xml:space="preserve">فولاد زرند ایرانیان </t>
  </si>
  <si>
    <t>1404/07/16</t>
  </si>
  <si>
    <t xml:space="preserve">بهره برداری نیروگاهی مپنا (آبادان) </t>
  </si>
  <si>
    <t>1404/07/20</t>
  </si>
  <si>
    <t>M1497</t>
  </si>
  <si>
    <t>1404/07/21</t>
  </si>
  <si>
    <t>1404/07/22</t>
  </si>
  <si>
    <t>تولید برق نکا</t>
  </si>
  <si>
    <t>1404/07/29</t>
  </si>
  <si>
    <t>M1498</t>
  </si>
  <si>
    <t>1404/08/03</t>
  </si>
  <si>
    <t>1404/07/30</t>
  </si>
  <si>
    <t>1404/08/14</t>
  </si>
  <si>
    <t xml:space="preserve">پتروشیمی رازی </t>
  </si>
  <si>
    <t>1404/08/13</t>
  </si>
  <si>
    <t>1404/08/17</t>
  </si>
  <si>
    <t xml:space="preserve">پتروشیمی تبریز </t>
  </si>
  <si>
    <t>1404/08/20</t>
  </si>
  <si>
    <t>M1499</t>
  </si>
  <si>
    <t>1404/08/24</t>
  </si>
  <si>
    <t>M1500</t>
  </si>
  <si>
    <t xml:space="preserve">پرورش غ رسمی </t>
  </si>
  <si>
    <t xml:space="preserve">پتروشیمی گچساران </t>
  </si>
  <si>
    <t>1404/08/27</t>
  </si>
  <si>
    <t xml:space="preserve">پیران پلیمر پارس آران </t>
  </si>
  <si>
    <t>1404/09/01</t>
  </si>
  <si>
    <t>1404/09/06</t>
  </si>
  <si>
    <t>1404/09/11</t>
  </si>
  <si>
    <t>آبفا تهران پرونده 2118</t>
  </si>
  <si>
    <t xml:space="preserve">واردات 12721 - پارت آخر  </t>
  </si>
  <si>
    <t>1404/09/12</t>
  </si>
  <si>
    <t xml:space="preserve">واردات 12721 - پارت آخر </t>
  </si>
  <si>
    <t>واردات پرونده 12721 - پارت آخر</t>
  </si>
  <si>
    <t>واردات 12721 - پارت آخر</t>
  </si>
  <si>
    <t>1404/09/15</t>
  </si>
  <si>
    <t>1404/09/22</t>
  </si>
  <si>
    <t>M1501</t>
  </si>
  <si>
    <t>1404/09/24</t>
  </si>
  <si>
    <t>1404/09/26</t>
  </si>
  <si>
    <t>یک عدد کسری بابت بار پارس جنوبی 12870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</si>
</sst>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B Titr"/>
      <charset val="178"/>
    </font>
    <font>
      <sz val="8"/>
      <name val="Calibri"/>
      <family val="2"/>
      <scheme val="minor"/>
    </font>
    <font>
      <b/>
      <sz val="10"/>
      <color rgb="FFFF0000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4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readingOrder="2"/>
    </xf>
    <xf numFmtId="0" fontId="4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readingOrder="2"/>
    </xf>
    <xf numFmtId="0" fontId="1" fillId="0" borderId="0" xfId="0" applyFont="1"/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1" xfId="0" applyFont="1" applyBorder="1"/>
    <xf numFmtId="0" fontId="8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I985"/>
  <sheetViews>
    <sheetView rightToLeft="1" zoomScale="115" zoomScaleNormal="115" workbookViewId="0">
      <pane ySplit="1" topLeftCell="A972" activePane="bottomLeft" state="frozen"/>
      <selection pane="bottomLeft" activeCell="H983" sqref="H983"/>
    </sheetView>
  </sheetViews>
  <sheetFormatPr defaultRowHeight="14.4" x14ac:dyDescent="0.3"/>
  <cols>
    <col min="2" max="2" width="14.5546875" customWidth="1"/>
    <col min="3" max="3" width="11.88671875" style="11" bestFit="1" customWidth="1"/>
    <col min="4" max="4" width="10.5546875" customWidth="1"/>
    <col min="5" max="5" width="11.44140625" customWidth="1"/>
    <col min="6" max="6" width="11.6640625" customWidth="1"/>
    <col min="7" max="7" width="14" customWidth="1"/>
    <col min="8" max="8" width="27.88671875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10</v>
      </c>
      <c r="C2" s="10" t="s">
        <v>8</v>
      </c>
      <c r="D2" s="3"/>
      <c r="E2" s="3">
        <v>2</v>
      </c>
      <c r="F2" s="3">
        <v>1309</v>
      </c>
      <c r="G2" s="3">
        <v>3614</v>
      </c>
      <c r="H2" s="5" t="s">
        <v>9</v>
      </c>
    </row>
    <row r="3" spans="1:8" ht="21" x14ac:dyDescent="0.7">
      <c r="A3" s="2">
        <v>2</v>
      </c>
      <c r="B3" s="8" t="s">
        <v>10</v>
      </c>
      <c r="C3" s="10" t="s">
        <v>97</v>
      </c>
      <c r="D3" s="3"/>
      <c r="E3" s="3">
        <v>15</v>
      </c>
      <c r="F3" s="3">
        <f t="shared" ref="F3:F8" si="0">F2-E3</f>
        <v>1294</v>
      </c>
      <c r="G3" s="3">
        <v>3651</v>
      </c>
      <c r="H3" s="5" t="s">
        <v>79</v>
      </c>
    </row>
    <row r="4" spans="1:8" ht="21" x14ac:dyDescent="0.7">
      <c r="A4" s="2">
        <v>3</v>
      </c>
      <c r="B4" s="8" t="s">
        <v>10</v>
      </c>
      <c r="C4" s="10" t="s">
        <v>98</v>
      </c>
      <c r="D4" s="3"/>
      <c r="E4" s="3">
        <v>12</v>
      </c>
      <c r="F4" s="3">
        <f t="shared" si="0"/>
        <v>1282</v>
      </c>
      <c r="G4" s="3" t="s">
        <v>99</v>
      </c>
      <c r="H4" s="5" t="s">
        <v>55</v>
      </c>
    </row>
    <row r="5" spans="1:8" ht="21" x14ac:dyDescent="0.7">
      <c r="A5" s="2">
        <v>4</v>
      </c>
      <c r="B5" s="8" t="s">
        <v>10</v>
      </c>
      <c r="C5" s="10" t="s">
        <v>105</v>
      </c>
      <c r="D5" s="3"/>
      <c r="E5" s="3">
        <v>1</v>
      </c>
      <c r="F5" s="3">
        <f t="shared" si="0"/>
        <v>1281</v>
      </c>
      <c r="G5" s="3">
        <v>3659</v>
      </c>
      <c r="H5" s="5" t="s">
        <v>106</v>
      </c>
    </row>
    <row r="6" spans="1:8" ht="21" x14ac:dyDescent="0.7">
      <c r="A6" s="2">
        <v>5</v>
      </c>
      <c r="B6" s="8" t="s">
        <v>10</v>
      </c>
      <c r="C6" s="10" t="s">
        <v>120</v>
      </c>
      <c r="D6" s="3"/>
      <c r="E6" s="3">
        <v>1</v>
      </c>
      <c r="F6" s="3">
        <f t="shared" si="0"/>
        <v>1280</v>
      </c>
      <c r="G6" s="3">
        <v>3673</v>
      </c>
      <c r="H6" s="5" t="s">
        <v>121</v>
      </c>
    </row>
    <row r="7" spans="1:8" ht="21" x14ac:dyDescent="0.7">
      <c r="A7" s="2">
        <v>6</v>
      </c>
      <c r="B7" s="8" t="s">
        <v>10</v>
      </c>
      <c r="C7" s="10" t="s">
        <v>122</v>
      </c>
      <c r="D7" s="3"/>
      <c r="E7" s="3">
        <v>2</v>
      </c>
      <c r="F7" s="3">
        <f t="shared" si="0"/>
        <v>1278</v>
      </c>
      <c r="G7" s="3">
        <v>3676</v>
      </c>
      <c r="H7" s="5" t="s">
        <v>124</v>
      </c>
    </row>
    <row r="8" spans="1:8" ht="21" x14ac:dyDescent="0.7">
      <c r="A8" s="2">
        <v>7</v>
      </c>
      <c r="B8" s="8" t="s">
        <v>10</v>
      </c>
      <c r="C8" s="10" t="s">
        <v>125</v>
      </c>
      <c r="D8" s="3"/>
      <c r="E8" s="3">
        <v>8</v>
      </c>
      <c r="F8" s="3">
        <f t="shared" si="0"/>
        <v>1270</v>
      </c>
      <c r="G8" s="3" t="s">
        <v>127</v>
      </c>
      <c r="H8" s="5" t="s">
        <v>55</v>
      </c>
    </row>
    <row r="9" spans="1:8" ht="21" x14ac:dyDescent="0.7">
      <c r="A9" s="2">
        <v>8</v>
      </c>
      <c r="B9" s="8" t="s">
        <v>10</v>
      </c>
      <c r="C9" s="10" t="s">
        <v>129</v>
      </c>
      <c r="D9" s="3"/>
      <c r="E9" s="3">
        <v>12</v>
      </c>
      <c r="F9" s="3">
        <f t="shared" ref="F9:F14" si="1">F8-E9</f>
        <v>1258</v>
      </c>
      <c r="G9" s="3" t="s">
        <v>130</v>
      </c>
      <c r="H9" s="5" t="s">
        <v>55</v>
      </c>
    </row>
    <row r="10" spans="1:8" ht="21" x14ac:dyDescent="0.7">
      <c r="A10" s="2">
        <v>9</v>
      </c>
      <c r="B10" s="8" t="s">
        <v>10</v>
      </c>
      <c r="C10" s="10" t="s">
        <v>133</v>
      </c>
      <c r="D10" s="3"/>
      <c r="E10" s="3">
        <v>2</v>
      </c>
      <c r="F10" s="3">
        <f t="shared" si="1"/>
        <v>1256</v>
      </c>
      <c r="G10" s="3">
        <v>3685</v>
      </c>
      <c r="H10" s="5" t="s">
        <v>134</v>
      </c>
    </row>
    <row r="11" spans="1:8" ht="21" x14ac:dyDescent="0.7">
      <c r="A11" s="2">
        <v>10</v>
      </c>
      <c r="B11" s="8" t="s">
        <v>10</v>
      </c>
      <c r="C11" s="10" t="s">
        <v>138</v>
      </c>
      <c r="D11" s="3"/>
      <c r="E11" s="3">
        <v>12</v>
      </c>
      <c r="F11" s="3">
        <f t="shared" si="1"/>
        <v>1244</v>
      </c>
      <c r="G11" s="3">
        <v>3686</v>
      </c>
      <c r="H11" s="5" t="s">
        <v>139</v>
      </c>
    </row>
    <row r="12" spans="1:8" ht="21" x14ac:dyDescent="0.7">
      <c r="A12" s="2">
        <v>11</v>
      </c>
      <c r="B12" s="8" t="s">
        <v>10</v>
      </c>
      <c r="C12" s="10" t="s">
        <v>140</v>
      </c>
      <c r="D12" s="3"/>
      <c r="E12" s="3">
        <v>8</v>
      </c>
      <c r="F12" s="3">
        <f t="shared" si="1"/>
        <v>1236</v>
      </c>
      <c r="G12" s="3" t="s">
        <v>141</v>
      </c>
      <c r="H12" s="5" t="s">
        <v>55</v>
      </c>
    </row>
    <row r="13" spans="1:8" ht="21" x14ac:dyDescent="0.7">
      <c r="A13" s="2">
        <v>12</v>
      </c>
      <c r="B13" s="8" t="s">
        <v>10</v>
      </c>
      <c r="C13" s="10" t="s">
        <v>142</v>
      </c>
      <c r="D13" s="3"/>
      <c r="E13" s="3">
        <v>2</v>
      </c>
      <c r="F13" s="3">
        <f t="shared" si="1"/>
        <v>1234</v>
      </c>
      <c r="G13" s="3">
        <v>3718</v>
      </c>
      <c r="H13" s="5" t="s">
        <v>121</v>
      </c>
    </row>
    <row r="14" spans="1:8" ht="21" x14ac:dyDescent="0.7">
      <c r="A14" s="2">
        <v>13</v>
      </c>
      <c r="B14" s="8" t="s">
        <v>10</v>
      </c>
      <c r="C14" s="10" t="s">
        <v>147</v>
      </c>
      <c r="D14" s="3"/>
      <c r="E14" s="3">
        <v>6</v>
      </c>
      <c r="F14" s="3">
        <f t="shared" si="1"/>
        <v>1228</v>
      </c>
      <c r="G14" s="3">
        <v>3744</v>
      </c>
      <c r="H14" s="5" t="s">
        <v>149</v>
      </c>
    </row>
    <row r="15" spans="1:8" ht="21" x14ac:dyDescent="0.7">
      <c r="A15" s="2">
        <v>14</v>
      </c>
      <c r="B15" s="8" t="s">
        <v>10</v>
      </c>
      <c r="C15" s="10" t="s">
        <v>145</v>
      </c>
      <c r="D15" s="3"/>
      <c r="E15" s="3">
        <v>2</v>
      </c>
      <c r="F15" s="3">
        <f t="shared" ref="F15:F20" si="2">F14-E15</f>
        <v>1226</v>
      </c>
      <c r="G15" s="3">
        <v>3719</v>
      </c>
      <c r="H15" s="5" t="s">
        <v>139</v>
      </c>
    </row>
    <row r="16" spans="1:8" ht="21" x14ac:dyDescent="0.7">
      <c r="A16" s="2">
        <v>15</v>
      </c>
      <c r="B16" s="8" t="s">
        <v>10</v>
      </c>
      <c r="C16" s="10" t="s">
        <v>156</v>
      </c>
      <c r="D16" s="3"/>
      <c r="E16" s="3">
        <v>16</v>
      </c>
      <c r="F16" s="3">
        <f t="shared" si="2"/>
        <v>1210</v>
      </c>
      <c r="G16" s="3" t="s">
        <v>157</v>
      </c>
      <c r="H16" s="5" t="s">
        <v>55</v>
      </c>
    </row>
    <row r="17" spans="1:8" ht="21" x14ac:dyDescent="0.7">
      <c r="A17" s="2">
        <v>16</v>
      </c>
      <c r="B17" s="8" t="s">
        <v>10</v>
      </c>
      <c r="C17" s="10" t="s">
        <v>158</v>
      </c>
      <c r="D17" s="3"/>
      <c r="E17" s="3">
        <v>8</v>
      </c>
      <c r="F17" s="3">
        <f t="shared" si="2"/>
        <v>1202</v>
      </c>
      <c r="G17" s="3" t="s">
        <v>159</v>
      </c>
      <c r="H17" s="5" t="str">
        <f>H16</f>
        <v>طالب زاده</v>
      </c>
    </row>
    <row r="18" spans="1:8" ht="21" x14ac:dyDescent="0.7">
      <c r="A18" s="2">
        <v>17</v>
      </c>
      <c r="B18" s="8" t="s">
        <v>10</v>
      </c>
      <c r="C18" s="10" t="s">
        <v>165</v>
      </c>
      <c r="D18" s="3"/>
      <c r="E18" s="3">
        <v>24</v>
      </c>
      <c r="F18" s="3">
        <f t="shared" si="2"/>
        <v>1178</v>
      </c>
      <c r="G18" s="3" t="s">
        <v>166</v>
      </c>
      <c r="H18" s="5" t="s">
        <v>55</v>
      </c>
    </row>
    <row r="19" spans="1:8" ht="21" x14ac:dyDescent="0.7">
      <c r="A19" s="2">
        <v>18</v>
      </c>
      <c r="B19" s="8" t="s">
        <v>10</v>
      </c>
      <c r="C19" s="10" t="s">
        <v>167</v>
      </c>
      <c r="D19" s="3"/>
      <c r="E19" s="3">
        <v>5</v>
      </c>
      <c r="F19" s="3">
        <f t="shared" si="2"/>
        <v>1173</v>
      </c>
      <c r="G19" s="3">
        <v>3758</v>
      </c>
      <c r="H19" s="5" t="s">
        <v>168</v>
      </c>
    </row>
    <row r="20" spans="1:8" ht="21" x14ac:dyDescent="0.7">
      <c r="A20" s="2">
        <v>19</v>
      </c>
      <c r="B20" s="8" t="s">
        <v>10</v>
      </c>
      <c r="C20" s="10" t="s">
        <v>170</v>
      </c>
      <c r="D20" s="3"/>
      <c r="E20" s="3">
        <v>88</v>
      </c>
      <c r="F20" s="3">
        <f t="shared" si="2"/>
        <v>1085</v>
      </c>
      <c r="G20" s="3" t="s">
        <v>171</v>
      </c>
      <c r="H20" s="5" t="s">
        <v>55</v>
      </c>
    </row>
    <row r="21" spans="1:8" ht="21" x14ac:dyDescent="0.7">
      <c r="A21" s="2">
        <v>20</v>
      </c>
      <c r="B21" s="8" t="s">
        <v>10</v>
      </c>
      <c r="C21" s="10" t="s">
        <v>174</v>
      </c>
      <c r="D21" s="3"/>
      <c r="E21" s="3">
        <v>8</v>
      </c>
      <c r="F21" s="3">
        <f t="shared" ref="F21:F26" si="3">F20-E21</f>
        <v>1077</v>
      </c>
      <c r="G21" s="3" t="s">
        <v>175</v>
      </c>
      <c r="H21" s="5" t="s">
        <v>55</v>
      </c>
    </row>
    <row r="22" spans="1:8" ht="21" x14ac:dyDescent="0.7">
      <c r="A22" s="2">
        <v>21</v>
      </c>
      <c r="B22" s="8" t="s">
        <v>10</v>
      </c>
      <c r="C22" s="10" t="s">
        <v>186</v>
      </c>
      <c r="D22" s="3"/>
      <c r="E22" s="3">
        <v>16</v>
      </c>
      <c r="F22" s="3">
        <f t="shared" si="3"/>
        <v>1061</v>
      </c>
      <c r="G22" s="3" t="s">
        <v>187</v>
      </c>
      <c r="H22" s="5" t="s">
        <v>55</v>
      </c>
    </row>
    <row r="23" spans="1:8" ht="21" x14ac:dyDescent="0.7">
      <c r="A23" s="2">
        <v>22</v>
      </c>
      <c r="B23" s="8" t="s">
        <v>10</v>
      </c>
      <c r="C23" s="10" t="s">
        <v>190</v>
      </c>
      <c r="D23" s="3"/>
      <c r="E23" s="3">
        <v>1</v>
      </c>
      <c r="F23" s="3">
        <f t="shared" si="3"/>
        <v>1060</v>
      </c>
      <c r="G23" s="3">
        <v>3780</v>
      </c>
      <c r="H23" s="5" t="s">
        <v>191</v>
      </c>
    </row>
    <row r="24" spans="1:8" ht="21" x14ac:dyDescent="0.7">
      <c r="A24" s="2">
        <v>23</v>
      </c>
      <c r="B24" s="8" t="s">
        <v>10</v>
      </c>
      <c r="C24" s="10" t="s">
        <v>201</v>
      </c>
      <c r="D24" s="3"/>
      <c r="E24" s="3">
        <v>12</v>
      </c>
      <c r="F24" s="3">
        <f t="shared" si="3"/>
        <v>1048</v>
      </c>
      <c r="G24" s="3">
        <v>3802</v>
      </c>
      <c r="H24" s="5" t="s">
        <v>149</v>
      </c>
    </row>
    <row r="25" spans="1:8" ht="21" x14ac:dyDescent="0.7">
      <c r="A25" s="2">
        <v>24</v>
      </c>
      <c r="B25" s="8" t="s">
        <v>10</v>
      </c>
      <c r="C25" s="10" t="s">
        <v>206</v>
      </c>
      <c r="D25" s="3"/>
      <c r="E25" s="3">
        <v>2</v>
      </c>
      <c r="F25" s="3">
        <f t="shared" si="3"/>
        <v>1046</v>
      </c>
      <c r="G25" s="3">
        <v>3804</v>
      </c>
      <c r="H25" s="5" t="s">
        <v>121</v>
      </c>
    </row>
    <row r="26" spans="1:8" ht="21" x14ac:dyDescent="0.7">
      <c r="A26" s="2">
        <v>25</v>
      </c>
      <c r="B26" s="8" t="s">
        <v>10</v>
      </c>
      <c r="C26" s="10" t="s">
        <v>206</v>
      </c>
      <c r="D26" s="3"/>
      <c r="E26" s="3">
        <v>12</v>
      </c>
      <c r="F26" s="3">
        <f t="shared" si="3"/>
        <v>1034</v>
      </c>
      <c r="G26" s="3">
        <v>3805</v>
      </c>
      <c r="H26" s="5" t="s">
        <v>117</v>
      </c>
    </row>
    <row r="27" spans="1:8" ht="21" x14ac:dyDescent="0.7">
      <c r="A27" s="2">
        <v>26</v>
      </c>
      <c r="B27" s="8" t="s">
        <v>10</v>
      </c>
      <c r="C27" s="10" t="s">
        <v>217</v>
      </c>
      <c r="D27" s="3"/>
      <c r="E27" s="3">
        <v>5</v>
      </c>
      <c r="F27" s="3">
        <f t="shared" ref="F27:F32" si="4">F26-E27</f>
        <v>1029</v>
      </c>
      <c r="G27" s="3">
        <v>3823</v>
      </c>
      <c r="H27" s="5" t="s">
        <v>218</v>
      </c>
    </row>
    <row r="28" spans="1:8" ht="21" x14ac:dyDescent="0.7">
      <c r="A28" s="2">
        <v>27</v>
      </c>
      <c r="B28" s="8" t="s">
        <v>10</v>
      </c>
      <c r="C28" s="10" t="s">
        <v>222</v>
      </c>
      <c r="D28" s="3"/>
      <c r="E28" s="3">
        <v>2</v>
      </c>
      <c r="F28" s="3">
        <f t="shared" si="4"/>
        <v>1027</v>
      </c>
      <c r="G28" s="3" t="s">
        <v>223</v>
      </c>
      <c r="H28" s="5" t="s">
        <v>49</v>
      </c>
    </row>
    <row r="29" spans="1:8" ht="21" x14ac:dyDescent="0.7">
      <c r="A29" s="2">
        <v>28</v>
      </c>
      <c r="B29" s="8" t="s">
        <v>10</v>
      </c>
      <c r="C29" s="10" t="s">
        <v>228</v>
      </c>
      <c r="D29" s="3"/>
      <c r="E29" s="3">
        <v>1</v>
      </c>
      <c r="F29" s="3">
        <f t="shared" si="4"/>
        <v>1026</v>
      </c>
      <c r="G29" s="3">
        <v>3854</v>
      </c>
      <c r="H29" s="5" t="s">
        <v>229</v>
      </c>
    </row>
    <row r="30" spans="1:8" ht="21" x14ac:dyDescent="0.7">
      <c r="A30" s="2">
        <v>29</v>
      </c>
      <c r="B30" s="8" t="s">
        <v>10</v>
      </c>
      <c r="C30" s="10" t="s">
        <v>231</v>
      </c>
      <c r="D30" s="3"/>
      <c r="E30" s="3">
        <v>8</v>
      </c>
      <c r="F30" s="3">
        <f t="shared" si="4"/>
        <v>1018</v>
      </c>
      <c r="G30" s="3" t="s">
        <v>230</v>
      </c>
      <c r="H30" s="5" t="s">
        <v>55</v>
      </c>
    </row>
    <row r="31" spans="1:8" ht="21" x14ac:dyDescent="0.7">
      <c r="A31" s="2">
        <v>30</v>
      </c>
      <c r="B31" s="8" t="s">
        <v>10</v>
      </c>
      <c r="C31" s="10" t="s">
        <v>233</v>
      </c>
      <c r="D31" s="3"/>
      <c r="E31" s="3">
        <v>2</v>
      </c>
      <c r="F31" s="3">
        <f t="shared" si="4"/>
        <v>1016</v>
      </c>
      <c r="G31" s="3">
        <v>3859</v>
      </c>
      <c r="H31" s="5" t="s">
        <v>234</v>
      </c>
    </row>
    <row r="32" spans="1:8" ht="21" x14ac:dyDescent="0.7">
      <c r="A32" s="2">
        <v>31</v>
      </c>
      <c r="B32" s="8" t="s">
        <v>10</v>
      </c>
      <c r="C32" s="10" t="s">
        <v>242</v>
      </c>
      <c r="D32" s="3"/>
      <c r="E32" s="3">
        <v>1</v>
      </c>
      <c r="F32" s="3">
        <f t="shared" si="4"/>
        <v>1015</v>
      </c>
      <c r="G32" s="3">
        <v>3864</v>
      </c>
      <c r="H32" s="5" t="s">
        <v>245</v>
      </c>
    </row>
    <row r="33" spans="1:8" ht="21" x14ac:dyDescent="0.7">
      <c r="A33" s="2">
        <v>32</v>
      </c>
      <c r="B33" s="8" t="s">
        <v>10</v>
      </c>
      <c r="C33" s="13" t="s">
        <v>246</v>
      </c>
      <c r="D33" s="3">
        <v>300</v>
      </c>
      <c r="E33" s="3"/>
      <c r="F33" s="3">
        <f>F32+D33</f>
        <v>1315</v>
      </c>
      <c r="G33" s="3"/>
      <c r="H33" s="5"/>
    </row>
    <row r="34" spans="1:8" ht="21" x14ac:dyDescent="0.7">
      <c r="A34" s="2">
        <v>33</v>
      </c>
      <c r="B34" s="8" t="s">
        <v>10</v>
      </c>
      <c r="C34" s="10" t="s">
        <v>248</v>
      </c>
      <c r="D34" s="3"/>
      <c r="E34" s="3">
        <v>4</v>
      </c>
      <c r="F34" s="3">
        <f t="shared" ref="F34:F39" si="5">F33-E34</f>
        <v>1311</v>
      </c>
      <c r="G34" s="3" t="s">
        <v>249</v>
      </c>
      <c r="H34" s="5" t="s">
        <v>55</v>
      </c>
    </row>
    <row r="35" spans="1:8" ht="21" x14ac:dyDescent="0.7">
      <c r="A35" s="2">
        <v>34</v>
      </c>
      <c r="B35" s="8" t="s">
        <v>10</v>
      </c>
      <c r="C35" s="10" t="s">
        <v>250</v>
      </c>
      <c r="D35" s="3"/>
      <c r="E35" s="3">
        <v>1</v>
      </c>
      <c r="F35" s="3">
        <f t="shared" si="5"/>
        <v>1310</v>
      </c>
      <c r="G35" s="3">
        <v>3870</v>
      </c>
      <c r="H35" s="5" t="s">
        <v>164</v>
      </c>
    </row>
    <row r="36" spans="1:8" ht="21" x14ac:dyDescent="0.7">
      <c r="A36" s="2">
        <v>35</v>
      </c>
      <c r="B36" s="8" t="s">
        <v>10</v>
      </c>
      <c r="C36" s="10" t="s">
        <v>255</v>
      </c>
      <c r="D36" s="3"/>
      <c r="E36" s="3">
        <v>10</v>
      </c>
      <c r="F36" s="3">
        <f t="shared" si="5"/>
        <v>1300</v>
      </c>
      <c r="G36" s="3" t="s">
        <v>256</v>
      </c>
      <c r="H36" s="5" t="s">
        <v>55</v>
      </c>
    </row>
    <row r="37" spans="1:8" ht="21" x14ac:dyDescent="0.7">
      <c r="A37" s="2">
        <v>36</v>
      </c>
      <c r="B37" s="8" t="s">
        <v>10</v>
      </c>
      <c r="C37" s="10" t="s">
        <v>255</v>
      </c>
      <c r="D37" s="3"/>
      <c r="E37" s="3">
        <v>16</v>
      </c>
      <c r="F37" s="3">
        <f t="shared" si="5"/>
        <v>1284</v>
      </c>
      <c r="G37" s="3" t="s">
        <v>258</v>
      </c>
      <c r="H37" s="5" t="s">
        <v>55</v>
      </c>
    </row>
    <row r="38" spans="1:8" ht="21" x14ac:dyDescent="0.7">
      <c r="A38" s="2">
        <v>37</v>
      </c>
      <c r="B38" s="8" t="s">
        <v>10</v>
      </c>
      <c r="C38" s="10" t="s">
        <v>261</v>
      </c>
      <c r="D38" s="3"/>
      <c r="E38" s="3">
        <v>8</v>
      </c>
      <c r="F38" s="3">
        <f t="shared" si="5"/>
        <v>1276</v>
      </c>
      <c r="G38" s="3" t="s">
        <v>260</v>
      </c>
      <c r="H38" s="5" t="s">
        <v>55</v>
      </c>
    </row>
    <row r="39" spans="1:8" ht="21" x14ac:dyDescent="0.7">
      <c r="A39" s="2">
        <v>38</v>
      </c>
      <c r="B39" s="8" t="s">
        <v>10</v>
      </c>
      <c r="C39" s="10" t="s">
        <v>261</v>
      </c>
      <c r="D39" s="3"/>
      <c r="E39" s="3">
        <v>2</v>
      </c>
      <c r="F39" s="3">
        <f t="shared" si="5"/>
        <v>1274</v>
      </c>
      <c r="G39" s="3" t="s">
        <v>263</v>
      </c>
      <c r="H39" s="5" t="s">
        <v>49</v>
      </c>
    </row>
    <row r="40" spans="1:8" ht="21" x14ac:dyDescent="0.7">
      <c r="A40" s="2">
        <v>39</v>
      </c>
      <c r="B40" s="8" t="s">
        <v>10</v>
      </c>
      <c r="C40" s="10" t="s">
        <v>264</v>
      </c>
      <c r="D40" s="3"/>
      <c r="E40" s="3">
        <v>32</v>
      </c>
      <c r="F40" s="3">
        <f>F39-E40</f>
        <v>1242</v>
      </c>
      <c r="G40" s="3" t="s">
        <v>265</v>
      </c>
      <c r="H40" s="5" t="s">
        <v>55</v>
      </c>
    </row>
    <row r="41" spans="1:8" ht="21" x14ac:dyDescent="0.7">
      <c r="A41" s="2">
        <v>40</v>
      </c>
      <c r="B41" s="8" t="s">
        <v>10</v>
      </c>
      <c r="C41" s="13" t="s">
        <v>266</v>
      </c>
      <c r="D41" s="3">
        <v>720</v>
      </c>
      <c r="E41" s="3"/>
      <c r="F41" s="3">
        <f>F40+D41</f>
        <v>1962</v>
      </c>
      <c r="G41" s="3"/>
      <c r="H41" s="5"/>
    </row>
    <row r="42" spans="1:8" ht="21" x14ac:dyDescent="0.7">
      <c r="A42" s="2">
        <v>41</v>
      </c>
      <c r="B42" s="8" t="s">
        <v>10</v>
      </c>
      <c r="C42" s="10" t="s">
        <v>269</v>
      </c>
      <c r="D42" s="3"/>
      <c r="E42" s="3">
        <v>8</v>
      </c>
      <c r="F42" s="3">
        <f t="shared" ref="F42:F47" si="6">F41-E42</f>
        <v>1954</v>
      </c>
      <c r="G42" s="3" t="s">
        <v>270</v>
      </c>
      <c r="H42" s="5" t="s">
        <v>55</v>
      </c>
    </row>
    <row r="43" spans="1:8" ht="21" x14ac:dyDescent="0.7">
      <c r="A43" s="2">
        <v>42</v>
      </c>
      <c r="B43" s="8" t="s">
        <v>10</v>
      </c>
      <c r="C43" s="10" t="s">
        <v>272</v>
      </c>
      <c r="D43" s="3"/>
      <c r="E43" s="3">
        <v>16</v>
      </c>
      <c r="F43" s="3">
        <f t="shared" si="6"/>
        <v>1938</v>
      </c>
      <c r="G43" s="3" t="s">
        <v>273</v>
      </c>
      <c r="H43" s="5" t="s">
        <v>55</v>
      </c>
    </row>
    <row r="44" spans="1:8" ht="21" x14ac:dyDescent="0.7">
      <c r="A44" s="2">
        <v>43</v>
      </c>
      <c r="B44" s="8" t="s">
        <v>10</v>
      </c>
      <c r="C44" s="10" t="s">
        <v>274</v>
      </c>
      <c r="D44" s="3"/>
      <c r="E44" s="3">
        <v>8</v>
      </c>
      <c r="F44" s="3">
        <f t="shared" si="6"/>
        <v>1930</v>
      </c>
      <c r="G44" s="3" t="s">
        <v>275</v>
      </c>
      <c r="H44" s="5" t="s">
        <v>55</v>
      </c>
    </row>
    <row r="45" spans="1:8" ht="21" x14ac:dyDescent="0.7">
      <c r="A45" s="2">
        <v>44</v>
      </c>
      <c r="B45" s="8" t="s">
        <v>10</v>
      </c>
      <c r="C45" s="10" t="s">
        <v>276</v>
      </c>
      <c r="D45" s="3"/>
      <c r="E45" s="3">
        <v>50</v>
      </c>
      <c r="F45" s="3">
        <f t="shared" si="6"/>
        <v>1880</v>
      </c>
      <c r="G45" s="3">
        <v>3900</v>
      </c>
      <c r="H45" s="5" t="s">
        <v>277</v>
      </c>
    </row>
    <row r="46" spans="1:8" ht="21" x14ac:dyDescent="0.7">
      <c r="A46" s="2">
        <v>45</v>
      </c>
      <c r="B46" s="8" t="s">
        <v>10</v>
      </c>
      <c r="C46" s="10" t="s">
        <v>279</v>
      </c>
      <c r="D46" s="3"/>
      <c r="E46" s="3">
        <v>16</v>
      </c>
      <c r="F46" s="3">
        <f t="shared" si="6"/>
        <v>1864</v>
      </c>
      <c r="G46" s="3" t="s">
        <v>280</v>
      </c>
      <c r="H46" s="5" t="s">
        <v>55</v>
      </c>
    </row>
    <row r="47" spans="1:8" ht="21" x14ac:dyDescent="0.7">
      <c r="A47" s="2">
        <v>46</v>
      </c>
      <c r="B47" s="8" t="s">
        <v>10</v>
      </c>
      <c r="C47" s="10" t="s">
        <v>281</v>
      </c>
      <c r="D47" s="3"/>
      <c r="E47" s="3">
        <v>1</v>
      </c>
      <c r="F47" s="3">
        <f t="shared" si="6"/>
        <v>1863</v>
      </c>
      <c r="G47" s="3">
        <v>3903</v>
      </c>
      <c r="H47" s="5" t="s">
        <v>283</v>
      </c>
    </row>
    <row r="48" spans="1:8" ht="21" x14ac:dyDescent="0.7">
      <c r="A48" s="2">
        <v>47</v>
      </c>
      <c r="B48" s="8" t="s">
        <v>10</v>
      </c>
      <c r="C48" s="10" t="s">
        <v>285</v>
      </c>
      <c r="D48" s="3"/>
      <c r="E48" s="3">
        <v>1</v>
      </c>
      <c r="F48" s="3">
        <f t="shared" ref="F48:F53" si="7">F47-E48</f>
        <v>1862</v>
      </c>
      <c r="G48" s="3">
        <v>3904</v>
      </c>
      <c r="H48" s="5" t="s">
        <v>66</v>
      </c>
    </row>
    <row r="49" spans="1:8" ht="21" x14ac:dyDescent="0.7">
      <c r="A49" s="2">
        <v>48</v>
      </c>
      <c r="B49" s="8" t="s">
        <v>10</v>
      </c>
      <c r="C49" s="10" t="s">
        <v>288</v>
      </c>
      <c r="D49" s="3"/>
      <c r="E49" s="3">
        <v>100</v>
      </c>
      <c r="F49" s="3">
        <f t="shared" si="7"/>
        <v>1762</v>
      </c>
      <c r="G49" s="3">
        <v>3905</v>
      </c>
      <c r="H49" s="5" t="s">
        <v>277</v>
      </c>
    </row>
    <row r="50" spans="1:8" ht="21" x14ac:dyDescent="0.7">
      <c r="A50" s="2">
        <v>49</v>
      </c>
      <c r="B50" s="8" t="s">
        <v>10</v>
      </c>
      <c r="C50" s="10" t="s">
        <v>289</v>
      </c>
      <c r="D50" s="3"/>
      <c r="E50" s="3">
        <v>8</v>
      </c>
      <c r="F50" s="3">
        <f t="shared" si="7"/>
        <v>1754</v>
      </c>
      <c r="G50" s="3" t="s">
        <v>290</v>
      </c>
      <c r="H50" s="5" t="s">
        <v>55</v>
      </c>
    </row>
    <row r="51" spans="1:8" ht="21" x14ac:dyDescent="0.7">
      <c r="A51" s="2">
        <v>50</v>
      </c>
      <c r="B51" s="8" t="s">
        <v>10</v>
      </c>
      <c r="C51" s="10" t="s">
        <v>297</v>
      </c>
      <c r="D51" s="3"/>
      <c r="E51" s="3">
        <v>8</v>
      </c>
      <c r="F51" s="3">
        <f t="shared" si="7"/>
        <v>1746</v>
      </c>
      <c r="G51" s="3" t="s">
        <v>298</v>
      </c>
      <c r="H51" s="5" t="s">
        <v>55</v>
      </c>
    </row>
    <row r="52" spans="1:8" ht="21" x14ac:dyDescent="0.7">
      <c r="A52" s="2">
        <v>51</v>
      </c>
      <c r="B52" s="8" t="s">
        <v>10</v>
      </c>
      <c r="C52" s="10" t="s">
        <v>299</v>
      </c>
      <c r="D52" s="3"/>
      <c r="E52" s="3">
        <v>40</v>
      </c>
      <c r="F52" s="3">
        <f t="shared" si="7"/>
        <v>1706</v>
      </c>
      <c r="G52" s="3">
        <v>3918</v>
      </c>
      <c r="H52" s="5" t="s">
        <v>277</v>
      </c>
    </row>
    <row r="53" spans="1:8" ht="21" x14ac:dyDescent="0.7">
      <c r="A53" s="2">
        <v>52</v>
      </c>
      <c r="B53" s="8" t="s">
        <v>10</v>
      </c>
      <c r="C53" s="10" t="s">
        <v>299</v>
      </c>
      <c r="D53" s="3"/>
      <c r="E53" s="3">
        <v>8</v>
      </c>
      <c r="F53" s="3">
        <f t="shared" si="7"/>
        <v>1698</v>
      </c>
      <c r="G53" s="3">
        <v>3920</v>
      </c>
      <c r="H53" s="5" t="s">
        <v>43</v>
      </c>
    </row>
    <row r="54" spans="1:8" ht="21" x14ac:dyDescent="0.7">
      <c r="A54" s="2">
        <v>53</v>
      </c>
      <c r="B54" s="8" t="s">
        <v>10</v>
      </c>
      <c r="C54" s="10" t="s">
        <v>301</v>
      </c>
      <c r="D54" s="3"/>
      <c r="E54" s="3">
        <v>5</v>
      </c>
      <c r="F54" s="3">
        <f t="shared" ref="F54:F59" si="8">F53-E54</f>
        <v>1693</v>
      </c>
      <c r="G54" s="3">
        <v>3923</v>
      </c>
      <c r="H54" s="5" t="s">
        <v>168</v>
      </c>
    </row>
    <row r="55" spans="1:8" ht="21" x14ac:dyDescent="0.7">
      <c r="A55" s="2">
        <v>54</v>
      </c>
      <c r="B55" s="8" t="s">
        <v>10</v>
      </c>
      <c r="C55" s="10" t="s">
        <v>305</v>
      </c>
      <c r="D55" s="3"/>
      <c r="E55" s="3">
        <v>10</v>
      </c>
      <c r="F55" s="3">
        <f t="shared" si="8"/>
        <v>1683</v>
      </c>
      <c r="G55" s="3">
        <v>3926</v>
      </c>
      <c r="H55" s="5" t="s">
        <v>149</v>
      </c>
    </row>
    <row r="56" spans="1:8" ht="21" x14ac:dyDescent="0.7">
      <c r="A56" s="2">
        <v>55</v>
      </c>
      <c r="B56" s="8" t="s">
        <v>10</v>
      </c>
      <c r="C56" s="10" t="s">
        <v>306</v>
      </c>
      <c r="D56" s="3"/>
      <c r="E56" s="3">
        <v>20</v>
      </c>
      <c r="F56" s="3">
        <f t="shared" si="8"/>
        <v>1663</v>
      </c>
      <c r="G56" s="3">
        <v>3928</v>
      </c>
      <c r="H56" s="5" t="s">
        <v>43</v>
      </c>
    </row>
    <row r="57" spans="1:8" ht="21" x14ac:dyDescent="0.7">
      <c r="A57" s="2">
        <v>56</v>
      </c>
      <c r="B57" s="8" t="s">
        <v>10</v>
      </c>
      <c r="C57" s="10" t="s">
        <v>307</v>
      </c>
      <c r="D57" s="3"/>
      <c r="E57" s="3">
        <v>8</v>
      </c>
      <c r="F57" s="3">
        <f t="shared" si="8"/>
        <v>1655</v>
      </c>
      <c r="G57" s="3" t="s">
        <v>309</v>
      </c>
      <c r="H57" s="5" t="s">
        <v>55</v>
      </c>
    </row>
    <row r="58" spans="1:8" ht="21" x14ac:dyDescent="0.7">
      <c r="A58" s="2">
        <v>57</v>
      </c>
      <c r="B58" s="8" t="s">
        <v>10</v>
      </c>
      <c r="C58" s="10" t="s">
        <v>312</v>
      </c>
      <c r="D58" s="3"/>
      <c r="E58" s="3">
        <v>30</v>
      </c>
      <c r="F58" s="3">
        <f t="shared" si="8"/>
        <v>1625</v>
      </c>
      <c r="G58" s="3">
        <v>3947</v>
      </c>
      <c r="H58" s="5" t="s">
        <v>43</v>
      </c>
    </row>
    <row r="59" spans="1:8" ht="21" x14ac:dyDescent="0.7">
      <c r="A59" s="2">
        <v>58</v>
      </c>
      <c r="B59" s="8" t="s">
        <v>10</v>
      </c>
      <c r="C59" s="10" t="s">
        <v>316</v>
      </c>
      <c r="D59" s="3"/>
      <c r="E59" s="3">
        <v>12</v>
      </c>
      <c r="F59" s="3">
        <f t="shared" si="8"/>
        <v>1613</v>
      </c>
      <c r="G59" s="3" t="s">
        <v>317</v>
      </c>
      <c r="H59" s="5" t="s">
        <v>55</v>
      </c>
    </row>
    <row r="60" spans="1:8" ht="21" x14ac:dyDescent="0.7">
      <c r="A60" s="2">
        <v>59</v>
      </c>
      <c r="B60" s="8" t="s">
        <v>10</v>
      </c>
      <c r="C60" s="10" t="s">
        <v>318</v>
      </c>
      <c r="D60" s="3"/>
      <c r="E60" s="3">
        <v>12</v>
      </c>
      <c r="F60" s="3">
        <f t="shared" ref="F60:F65" si="9">F59-E60</f>
        <v>1601</v>
      </c>
      <c r="G60" s="3" t="s">
        <v>319</v>
      </c>
      <c r="H60" s="5" t="s">
        <v>55</v>
      </c>
    </row>
    <row r="61" spans="1:8" ht="21" x14ac:dyDescent="0.7">
      <c r="A61" s="2">
        <v>60</v>
      </c>
      <c r="B61" s="8" t="s">
        <v>10</v>
      </c>
      <c r="C61" s="10" t="s">
        <v>322</v>
      </c>
      <c r="D61" s="3"/>
      <c r="E61" s="3">
        <v>12</v>
      </c>
      <c r="F61" s="3">
        <f t="shared" si="9"/>
        <v>1589</v>
      </c>
      <c r="G61" s="3" t="s">
        <v>323</v>
      </c>
      <c r="H61" s="5" t="s">
        <v>55</v>
      </c>
    </row>
    <row r="62" spans="1:8" ht="21" x14ac:dyDescent="0.7">
      <c r="A62" s="2">
        <v>61</v>
      </c>
      <c r="B62" s="8" t="s">
        <v>10</v>
      </c>
      <c r="C62" s="10" t="s">
        <v>324</v>
      </c>
      <c r="D62" s="3"/>
      <c r="E62" s="3">
        <v>2</v>
      </c>
      <c r="F62" s="3">
        <f t="shared" si="9"/>
        <v>1587</v>
      </c>
      <c r="G62" s="3">
        <v>3954</v>
      </c>
      <c r="H62" s="5" t="s">
        <v>128</v>
      </c>
    </row>
    <row r="63" spans="1:8" ht="21" x14ac:dyDescent="0.7">
      <c r="A63" s="2">
        <v>62</v>
      </c>
      <c r="B63" s="8" t="s">
        <v>10</v>
      </c>
      <c r="C63" s="10" t="s">
        <v>328</v>
      </c>
      <c r="D63" s="3"/>
      <c r="E63" s="3">
        <v>12</v>
      </c>
      <c r="F63" s="3">
        <f t="shared" si="9"/>
        <v>1575</v>
      </c>
      <c r="G63" s="3" t="s">
        <v>329</v>
      </c>
      <c r="H63" s="5" t="s">
        <v>55</v>
      </c>
    </row>
    <row r="64" spans="1:8" ht="21" x14ac:dyDescent="0.7">
      <c r="A64" s="2">
        <v>63</v>
      </c>
      <c r="B64" s="8" t="s">
        <v>10</v>
      </c>
      <c r="C64" s="10" t="s">
        <v>328</v>
      </c>
      <c r="D64" s="3"/>
      <c r="E64" s="3">
        <v>60</v>
      </c>
      <c r="F64" s="3">
        <f t="shared" si="9"/>
        <v>1515</v>
      </c>
      <c r="G64" s="3">
        <v>3967</v>
      </c>
      <c r="H64" s="5" t="s">
        <v>277</v>
      </c>
    </row>
    <row r="65" spans="1:8" ht="21" x14ac:dyDescent="0.7">
      <c r="A65" s="2">
        <v>64</v>
      </c>
      <c r="B65" s="8" t="s">
        <v>10</v>
      </c>
      <c r="C65" s="10" t="s">
        <v>334</v>
      </c>
      <c r="D65" s="3"/>
      <c r="E65" s="3">
        <v>1</v>
      </c>
      <c r="F65" s="3">
        <f t="shared" si="9"/>
        <v>1514</v>
      </c>
      <c r="G65" s="3">
        <v>3989</v>
      </c>
      <c r="H65" s="5" t="s">
        <v>229</v>
      </c>
    </row>
    <row r="66" spans="1:8" ht="21" x14ac:dyDescent="0.7">
      <c r="A66" s="2">
        <v>65</v>
      </c>
      <c r="B66" s="8" t="s">
        <v>10</v>
      </c>
      <c r="C66" s="10" t="s">
        <v>335</v>
      </c>
      <c r="D66" s="3"/>
      <c r="E66" s="3">
        <v>1</v>
      </c>
      <c r="F66" s="3">
        <f t="shared" ref="F66:F71" si="10">F65-E66</f>
        <v>1513</v>
      </c>
      <c r="G66" s="3">
        <v>4002</v>
      </c>
      <c r="H66" s="5" t="s">
        <v>164</v>
      </c>
    </row>
    <row r="67" spans="1:8" ht="21" x14ac:dyDescent="0.7">
      <c r="A67" s="2">
        <v>66</v>
      </c>
      <c r="B67" s="8" t="s">
        <v>10</v>
      </c>
      <c r="C67" s="10" t="s">
        <v>348</v>
      </c>
      <c r="D67" s="3"/>
      <c r="E67" s="3">
        <v>12</v>
      </c>
      <c r="F67" s="3">
        <f t="shared" si="10"/>
        <v>1501</v>
      </c>
      <c r="G67" s="3" t="s">
        <v>349</v>
      </c>
      <c r="H67" s="5" t="s">
        <v>55</v>
      </c>
    </row>
    <row r="68" spans="1:8" ht="21" x14ac:dyDescent="0.7">
      <c r="A68" s="2">
        <v>67</v>
      </c>
      <c r="B68" s="8" t="s">
        <v>10</v>
      </c>
      <c r="C68" s="10" t="s">
        <v>351</v>
      </c>
      <c r="D68" s="3"/>
      <c r="E68" s="3">
        <v>12</v>
      </c>
      <c r="F68" s="3">
        <f t="shared" si="10"/>
        <v>1489</v>
      </c>
      <c r="G68" s="3" t="s">
        <v>352</v>
      </c>
      <c r="H68" s="5" t="s">
        <v>55</v>
      </c>
    </row>
    <row r="69" spans="1:8" ht="21" x14ac:dyDescent="0.7">
      <c r="A69" s="2">
        <v>68</v>
      </c>
      <c r="B69" s="8" t="s">
        <v>10</v>
      </c>
      <c r="C69" s="10" t="s">
        <v>353</v>
      </c>
      <c r="D69" s="3"/>
      <c r="E69" s="3">
        <v>2</v>
      </c>
      <c r="F69" s="3">
        <f t="shared" si="10"/>
        <v>1487</v>
      </c>
      <c r="G69" s="3">
        <v>4010</v>
      </c>
      <c r="H69" s="5" t="s">
        <v>354</v>
      </c>
    </row>
    <row r="70" spans="1:8" ht="21" x14ac:dyDescent="0.7">
      <c r="A70" s="2">
        <v>69</v>
      </c>
      <c r="B70" s="8" t="s">
        <v>10</v>
      </c>
      <c r="C70" s="10" t="s">
        <v>357</v>
      </c>
      <c r="D70" s="3"/>
      <c r="E70" s="3">
        <v>2</v>
      </c>
      <c r="F70" s="3">
        <f t="shared" si="10"/>
        <v>1485</v>
      </c>
      <c r="G70" s="3">
        <v>4013</v>
      </c>
      <c r="H70" s="5" t="s">
        <v>9</v>
      </c>
    </row>
    <row r="71" spans="1:8" ht="21" x14ac:dyDescent="0.7">
      <c r="A71" s="2">
        <v>70</v>
      </c>
      <c r="B71" s="8" t="s">
        <v>10</v>
      </c>
      <c r="C71" s="10" t="s">
        <v>364</v>
      </c>
      <c r="D71" s="3"/>
      <c r="E71" s="3">
        <v>1</v>
      </c>
      <c r="F71" s="3">
        <f t="shared" si="10"/>
        <v>1484</v>
      </c>
      <c r="G71" s="3">
        <v>4022</v>
      </c>
      <c r="H71" s="5" t="s">
        <v>365</v>
      </c>
    </row>
    <row r="72" spans="1:8" ht="21" x14ac:dyDescent="0.7">
      <c r="A72" s="2">
        <v>71</v>
      </c>
      <c r="B72" s="8" t="s">
        <v>10</v>
      </c>
      <c r="C72" s="10" t="s">
        <v>367</v>
      </c>
      <c r="D72" s="3"/>
      <c r="E72" s="3">
        <v>12</v>
      </c>
      <c r="F72" s="3">
        <f t="shared" ref="F72:F77" si="11">F71-E72</f>
        <v>1472</v>
      </c>
      <c r="G72" s="3" t="s">
        <v>368</v>
      </c>
      <c r="H72" s="5" t="s">
        <v>55</v>
      </c>
    </row>
    <row r="73" spans="1:8" ht="21" x14ac:dyDescent="0.7">
      <c r="A73" s="2">
        <v>72</v>
      </c>
      <c r="B73" s="8" t="s">
        <v>10</v>
      </c>
      <c r="C73" s="10" t="s">
        <v>369</v>
      </c>
      <c r="D73" s="3"/>
      <c r="E73" s="3">
        <v>12</v>
      </c>
      <c r="F73" s="3">
        <f t="shared" si="11"/>
        <v>1460</v>
      </c>
      <c r="G73" s="3">
        <v>4025</v>
      </c>
      <c r="H73" s="5" t="s">
        <v>277</v>
      </c>
    </row>
    <row r="74" spans="1:8" ht="21" x14ac:dyDescent="0.7">
      <c r="A74" s="2">
        <v>73</v>
      </c>
      <c r="B74" s="8" t="s">
        <v>10</v>
      </c>
      <c r="C74" s="10" t="s">
        <v>372</v>
      </c>
      <c r="D74" s="3"/>
      <c r="E74" s="3">
        <v>12</v>
      </c>
      <c r="F74" s="3">
        <f t="shared" si="11"/>
        <v>1448</v>
      </c>
      <c r="G74" s="3" t="s">
        <v>374</v>
      </c>
      <c r="H74" s="5" t="s">
        <v>55</v>
      </c>
    </row>
    <row r="75" spans="1:8" ht="21" x14ac:dyDescent="0.7">
      <c r="A75" s="2">
        <v>74</v>
      </c>
      <c r="B75" s="8" t="s">
        <v>10</v>
      </c>
      <c r="C75" s="10" t="s">
        <v>378</v>
      </c>
      <c r="D75" s="3"/>
      <c r="E75" s="3">
        <v>2</v>
      </c>
      <c r="F75" s="3">
        <f t="shared" si="11"/>
        <v>1446</v>
      </c>
      <c r="G75" s="3">
        <v>4066</v>
      </c>
      <c r="H75" s="5" t="s">
        <v>379</v>
      </c>
    </row>
    <row r="76" spans="1:8" ht="21" x14ac:dyDescent="0.7">
      <c r="A76" s="2">
        <v>75</v>
      </c>
      <c r="B76" s="8" t="s">
        <v>10</v>
      </c>
      <c r="C76" s="10" t="s">
        <v>382</v>
      </c>
      <c r="D76" s="3"/>
      <c r="E76" s="3">
        <v>24</v>
      </c>
      <c r="F76" s="3">
        <f t="shared" si="11"/>
        <v>1422</v>
      </c>
      <c r="G76" s="3" t="s">
        <v>383</v>
      </c>
      <c r="H76" s="5" t="s">
        <v>204</v>
      </c>
    </row>
    <row r="77" spans="1:8" ht="21" x14ac:dyDescent="0.7">
      <c r="A77" s="2">
        <v>76</v>
      </c>
      <c r="B77" s="8" t="s">
        <v>10</v>
      </c>
      <c r="C77" s="10" t="s">
        <v>387</v>
      </c>
      <c r="D77" s="3"/>
      <c r="E77" s="3">
        <v>12</v>
      </c>
      <c r="F77" s="3">
        <f t="shared" si="11"/>
        <v>1410</v>
      </c>
      <c r="G77" s="3" t="s">
        <v>388</v>
      </c>
      <c r="H77" s="5" t="s">
        <v>55</v>
      </c>
    </row>
    <row r="78" spans="1:8" ht="21" x14ac:dyDescent="0.7">
      <c r="A78" s="2">
        <v>77</v>
      </c>
      <c r="B78" s="8" t="s">
        <v>10</v>
      </c>
      <c r="C78" s="10" t="s">
        <v>392</v>
      </c>
      <c r="D78" s="3"/>
      <c r="E78" s="3">
        <v>12</v>
      </c>
      <c r="F78" s="3">
        <f t="shared" ref="F78:F83" si="12">F77-E78</f>
        <v>1398</v>
      </c>
      <c r="G78" s="3" t="s">
        <v>393</v>
      </c>
      <c r="H78" s="5" t="s">
        <v>55</v>
      </c>
    </row>
    <row r="79" spans="1:8" ht="21" x14ac:dyDescent="0.7">
      <c r="A79" s="2">
        <v>78</v>
      </c>
      <c r="B79" s="8" t="s">
        <v>10</v>
      </c>
      <c r="C79" s="10" t="s">
        <v>394</v>
      </c>
      <c r="D79" s="3"/>
      <c r="E79" s="3">
        <v>12</v>
      </c>
      <c r="F79" s="3">
        <f t="shared" si="12"/>
        <v>1386</v>
      </c>
      <c r="G79" s="3" t="s">
        <v>396</v>
      </c>
      <c r="H79" s="5" t="s">
        <v>55</v>
      </c>
    </row>
    <row r="80" spans="1:8" ht="21" x14ac:dyDescent="0.7">
      <c r="A80" s="2">
        <v>79</v>
      </c>
      <c r="B80" s="8" t="s">
        <v>10</v>
      </c>
      <c r="C80" s="10" t="s">
        <v>397</v>
      </c>
      <c r="D80" s="3"/>
      <c r="E80" s="3">
        <v>24</v>
      </c>
      <c r="F80" s="3">
        <f t="shared" si="12"/>
        <v>1362</v>
      </c>
      <c r="G80" s="3" t="s">
        <v>398</v>
      </c>
      <c r="H80" s="5" t="s">
        <v>55</v>
      </c>
    </row>
    <row r="81" spans="1:8" ht="21" x14ac:dyDescent="0.7">
      <c r="A81" s="2">
        <v>80</v>
      </c>
      <c r="B81" s="8" t="s">
        <v>10</v>
      </c>
      <c r="C81" s="10" t="s">
        <v>397</v>
      </c>
      <c r="D81" s="3"/>
      <c r="E81" s="3">
        <v>2</v>
      </c>
      <c r="F81" s="3">
        <f t="shared" si="12"/>
        <v>1360</v>
      </c>
      <c r="G81" s="3" t="s">
        <v>399</v>
      </c>
      <c r="H81" s="5" t="s">
        <v>49</v>
      </c>
    </row>
    <row r="82" spans="1:8" ht="21" x14ac:dyDescent="0.7">
      <c r="A82" s="2">
        <v>81</v>
      </c>
      <c r="B82" s="8" t="s">
        <v>10</v>
      </c>
      <c r="C82" s="10" t="s">
        <v>397</v>
      </c>
      <c r="D82" s="3"/>
      <c r="E82" s="3">
        <v>30</v>
      </c>
      <c r="F82" s="3">
        <f t="shared" si="12"/>
        <v>1330</v>
      </c>
      <c r="G82" s="3">
        <v>4088</v>
      </c>
      <c r="H82" s="5" t="s">
        <v>400</v>
      </c>
    </row>
    <row r="83" spans="1:8" ht="21" x14ac:dyDescent="0.7">
      <c r="A83" s="2">
        <v>82</v>
      </c>
      <c r="B83" s="8" t="s">
        <v>10</v>
      </c>
      <c r="C83" s="10" t="s">
        <v>403</v>
      </c>
      <c r="D83" s="3"/>
      <c r="E83" s="3">
        <v>2</v>
      </c>
      <c r="F83" s="3">
        <f t="shared" si="12"/>
        <v>1328</v>
      </c>
      <c r="G83" s="3" t="s">
        <v>405</v>
      </c>
      <c r="H83" s="5" t="s">
        <v>49</v>
      </c>
    </row>
    <row r="84" spans="1:8" ht="21" x14ac:dyDescent="0.7">
      <c r="A84" s="2">
        <v>83</v>
      </c>
      <c r="B84" s="8" t="s">
        <v>10</v>
      </c>
      <c r="C84" s="10" t="s">
        <v>406</v>
      </c>
      <c r="D84" s="3"/>
      <c r="E84" s="3">
        <v>1</v>
      </c>
      <c r="F84" s="3">
        <f t="shared" ref="F84:F89" si="13">F83-E84</f>
        <v>1327</v>
      </c>
      <c r="G84" s="3">
        <v>4092</v>
      </c>
      <c r="H84" s="5" t="s">
        <v>408</v>
      </c>
    </row>
    <row r="85" spans="1:8" ht="21" x14ac:dyDescent="0.7">
      <c r="A85" s="2">
        <v>84</v>
      </c>
      <c r="B85" s="8" t="s">
        <v>10</v>
      </c>
      <c r="C85" s="10" t="s">
        <v>409</v>
      </c>
      <c r="D85" s="3"/>
      <c r="E85" s="3">
        <v>24</v>
      </c>
      <c r="F85" s="3">
        <f t="shared" si="13"/>
        <v>1303</v>
      </c>
      <c r="G85" s="3" t="s">
        <v>410</v>
      </c>
      <c r="H85" s="5" t="s">
        <v>55</v>
      </c>
    </row>
    <row r="86" spans="1:8" ht="21" x14ac:dyDescent="0.7">
      <c r="A86" s="2">
        <v>85</v>
      </c>
      <c r="B86" s="8" t="s">
        <v>10</v>
      </c>
      <c r="C86" s="10" t="s">
        <v>411</v>
      </c>
      <c r="D86" s="3"/>
      <c r="E86" s="3">
        <v>24</v>
      </c>
      <c r="F86" s="3">
        <f t="shared" si="13"/>
        <v>1279</v>
      </c>
      <c r="G86" s="3" t="s">
        <v>413</v>
      </c>
      <c r="H86" s="5" t="s">
        <v>55</v>
      </c>
    </row>
    <row r="87" spans="1:8" ht="21" x14ac:dyDescent="0.7">
      <c r="A87" s="2">
        <v>86</v>
      </c>
      <c r="B87" s="8" t="s">
        <v>10</v>
      </c>
      <c r="C87" s="10" t="s">
        <v>411</v>
      </c>
      <c r="D87" s="3"/>
      <c r="E87" s="3">
        <v>12</v>
      </c>
      <c r="F87" s="3">
        <f t="shared" si="13"/>
        <v>1267</v>
      </c>
      <c r="G87" s="3" t="s">
        <v>414</v>
      </c>
      <c r="H87" s="5" t="s">
        <v>55</v>
      </c>
    </row>
    <row r="88" spans="1:8" ht="21" x14ac:dyDescent="0.7">
      <c r="A88" s="2">
        <v>87</v>
      </c>
      <c r="B88" s="8" t="s">
        <v>10</v>
      </c>
      <c r="C88" s="10" t="s">
        <v>416</v>
      </c>
      <c r="D88" s="3"/>
      <c r="E88" s="3">
        <v>1</v>
      </c>
      <c r="F88" s="3">
        <f t="shared" si="13"/>
        <v>1266</v>
      </c>
      <c r="G88" s="3" t="s">
        <v>417</v>
      </c>
      <c r="H88" s="5" t="s">
        <v>49</v>
      </c>
    </row>
    <row r="89" spans="1:8" ht="21" x14ac:dyDescent="0.7">
      <c r="A89" s="2">
        <v>88</v>
      </c>
      <c r="B89" s="8" t="s">
        <v>10</v>
      </c>
      <c r="C89" s="10" t="s">
        <v>420</v>
      </c>
      <c r="D89" s="3"/>
      <c r="E89" s="3">
        <v>12</v>
      </c>
      <c r="F89" s="3">
        <f t="shared" si="13"/>
        <v>1254</v>
      </c>
      <c r="G89" s="3" t="s">
        <v>421</v>
      </c>
      <c r="H89" s="5" t="s">
        <v>55</v>
      </c>
    </row>
    <row r="90" spans="1:8" ht="21" x14ac:dyDescent="0.7">
      <c r="A90" s="2">
        <v>89</v>
      </c>
      <c r="B90" s="8" t="s">
        <v>10</v>
      </c>
      <c r="C90" s="10" t="s">
        <v>429</v>
      </c>
      <c r="D90" s="3"/>
      <c r="E90" s="3">
        <v>12</v>
      </c>
      <c r="F90" s="3">
        <f t="shared" ref="F90:F95" si="14">F89-E90</f>
        <v>1242</v>
      </c>
      <c r="G90" s="3" t="s">
        <v>431</v>
      </c>
      <c r="H90" s="5" t="s">
        <v>55</v>
      </c>
    </row>
    <row r="91" spans="1:8" ht="21" x14ac:dyDescent="0.7">
      <c r="A91" s="2">
        <v>90</v>
      </c>
      <c r="B91" s="8" t="s">
        <v>10</v>
      </c>
      <c r="C91" s="10" t="s">
        <v>432</v>
      </c>
      <c r="D91" s="3"/>
      <c r="E91" s="3">
        <v>100</v>
      </c>
      <c r="F91" s="3">
        <f t="shared" si="14"/>
        <v>1142</v>
      </c>
      <c r="G91" s="3">
        <v>4129</v>
      </c>
      <c r="H91" s="5" t="s">
        <v>434</v>
      </c>
    </row>
    <row r="92" spans="1:8" ht="21" x14ac:dyDescent="0.7">
      <c r="A92" s="2">
        <v>91</v>
      </c>
      <c r="B92" s="8" t="s">
        <v>10</v>
      </c>
      <c r="C92" s="10" t="s">
        <v>437</v>
      </c>
      <c r="D92" s="3"/>
      <c r="E92" s="3">
        <v>12</v>
      </c>
      <c r="F92" s="3">
        <f t="shared" si="14"/>
        <v>1130</v>
      </c>
      <c r="G92" s="3" t="s">
        <v>439</v>
      </c>
      <c r="H92" s="5" t="s">
        <v>55</v>
      </c>
    </row>
    <row r="93" spans="1:8" ht="21" x14ac:dyDescent="0.7">
      <c r="A93" s="2">
        <v>92</v>
      </c>
      <c r="B93" s="8" t="s">
        <v>10</v>
      </c>
      <c r="C93" s="10" t="s">
        <v>437</v>
      </c>
      <c r="D93" s="3"/>
      <c r="E93" s="3">
        <v>8</v>
      </c>
      <c r="F93" s="3">
        <f t="shared" si="14"/>
        <v>1122</v>
      </c>
      <c r="G93" s="3">
        <v>4133</v>
      </c>
      <c r="H93" s="5" t="s">
        <v>149</v>
      </c>
    </row>
    <row r="94" spans="1:8" ht="21" x14ac:dyDescent="0.7">
      <c r="A94" s="2">
        <v>93</v>
      </c>
      <c r="B94" s="8" t="s">
        <v>10</v>
      </c>
      <c r="C94" s="10" t="s">
        <v>444</v>
      </c>
      <c r="D94" s="3"/>
      <c r="E94" s="3">
        <v>10</v>
      </c>
      <c r="F94" s="3">
        <f t="shared" si="14"/>
        <v>1112</v>
      </c>
      <c r="G94" s="3">
        <v>4142</v>
      </c>
      <c r="H94" s="5" t="s">
        <v>149</v>
      </c>
    </row>
    <row r="95" spans="1:8" ht="21" x14ac:dyDescent="0.7">
      <c r="A95" s="2">
        <v>94</v>
      </c>
      <c r="B95" s="8" t="s">
        <v>10</v>
      </c>
      <c r="C95" s="10" t="s">
        <v>453</v>
      </c>
      <c r="D95" s="3"/>
      <c r="E95" s="3">
        <v>1</v>
      </c>
      <c r="F95" s="3">
        <f t="shared" si="14"/>
        <v>1111</v>
      </c>
      <c r="G95" s="3" t="s">
        <v>451</v>
      </c>
      <c r="H95" s="5" t="s">
        <v>452</v>
      </c>
    </row>
    <row r="96" spans="1:8" ht="21" x14ac:dyDescent="0.7">
      <c r="A96" s="2">
        <v>95</v>
      </c>
      <c r="B96" s="8" t="s">
        <v>10</v>
      </c>
      <c r="C96" s="10" t="s">
        <v>453</v>
      </c>
      <c r="D96" s="3"/>
      <c r="E96" s="3">
        <v>10</v>
      </c>
      <c r="F96" s="3">
        <f t="shared" ref="F96:F101" si="15">F95-E96</f>
        <v>1101</v>
      </c>
      <c r="G96" s="3">
        <v>4145</v>
      </c>
      <c r="H96" s="5" t="s">
        <v>277</v>
      </c>
    </row>
    <row r="97" spans="1:8" ht="21" x14ac:dyDescent="0.7">
      <c r="A97" s="2">
        <v>96</v>
      </c>
      <c r="B97" s="8" t="s">
        <v>10</v>
      </c>
      <c r="C97" s="10" t="s">
        <v>461</v>
      </c>
      <c r="D97" s="3"/>
      <c r="E97" s="3">
        <v>12</v>
      </c>
      <c r="F97" s="3">
        <f t="shared" si="15"/>
        <v>1089</v>
      </c>
      <c r="G97" s="3" t="s">
        <v>462</v>
      </c>
      <c r="H97" s="5" t="s">
        <v>55</v>
      </c>
    </row>
    <row r="98" spans="1:8" ht="21" x14ac:dyDescent="0.7">
      <c r="A98" s="2">
        <v>97</v>
      </c>
      <c r="B98" s="8" t="s">
        <v>10</v>
      </c>
      <c r="C98" s="10" t="s">
        <v>464</v>
      </c>
      <c r="D98" s="3"/>
      <c r="E98" s="3">
        <v>2</v>
      </c>
      <c r="F98" s="3">
        <f t="shared" si="15"/>
        <v>1087</v>
      </c>
      <c r="G98" s="3">
        <v>4150</v>
      </c>
      <c r="H98" s="5" t="s">
        <v>465</v>
      </c>
    </row>
    <row r="99" spans="1:8" ht="21" x14ac:dyDescent="0.7">
      <c r="A99" s="2">
        <v>98</v>
      </c>
      <c r="B99" s="8" t="s">
        <v>10</v>
      </c>
      <c r="C99" s="10" t="s">
        <v>461</v>
      </c>
      <c r="D99" s="3"/>
      <c r="E99" s="3">
        <v>4</v>
      </c>
      <c r="F99" s="3">
        <f t="shared" si="15"/>
        <v>1083</v>
      </c>
      <c r="G99" s="3">
        <v>4153</v>
      </c>
      <c r="H99" s="5" t="s">
        <v>466</v>
      </c>
    </row>
    <row r="100" spans="1:8" ht="21" x14ac:dyDescent="0.7">
      <c r="A100" s="2">
        <v>99</v>
      </c>
      <c r="B100" s="8" t="s">
        <v>10</v>
      </c>
      <c r="C100" s="10" t="s">
        <v>474</v>
      </c>
      <c r="D100" s="3"/>
      <c r="E100" s="3">
        <v>24</v>
      </c>
      <c r="F100" s="3">
        <f t="shared" si="15"/>
        <v>1059</v>
      </c>
      <c r="G100" s="3" t="s">
        <v>475</v>
      </c>
      <c r="H100" s="5" t="s">
        <v>55</v>
      </c>
    </row>
    <row r="101" spans="1:8" ht="21" x14ac:dyDescent="0.7">
      <c r="A101" s="2">
        <v>100</v>
      </c>
      <c r="B101" s="8" t="s">
        <v>10</v>
      </c>
      <c r="C101" s="10" t="s">
        <v>481</v>
      </c>
      <c r="D101" s="3"/>
      <c r="E101" s="3">
        <v>10</v>
      </c>
      <c r="F101" s="3">
        <f t="shared" si="15"/>
        <v>1049</v>
      </c>
      <c r="G101" s="3">
        <v>4199</v>
      </c>
      <c r="H101" s="5" t="s">
        <v>483</v>
      </c>
    </row>
    <row r="102" spans="1:8" ht="21" x14ac:dyDescent="0.7">
      <c r="A102" s="2">
        <v>101</v>
      </c>
      <c r="B102" s="8" t="s">
        <v>10</v>
      </c>
      <c r="C102" s="10" t="s">
        <v>486</v>
      </c>
      <c r="D102" s="3"/>
      <c r="E102" s="3">
        <v>10</v>
      </c>
      <c r="F102" s="3">
        <f>F101-E102</f>
        <v>1039</v>
      </c>
      <c r="G102" s="3">
        <v>4202</v>
      </c>
      <c r="H102" s="5" t="s">
        <v>277</v>
      </c>
    </row>
    <row r="103" spans="1:8" ht="21" x14ac:dyDescent="0.7">
      <c r="A103" s="2">
        <v>102</v>
      </c>
      <c r="B103" s="8" t="s">
        <v>10</v>
      </c>
      <c r="C103" s="10" t="s">
        <v>487</v>
      </c>
      <c r="D103" s="3"/>
      <c r="E103" s="3">
        <v>12</v>
      </c>
      <c r="F103" s="3">
        <f>F102-E103</f>
        <v>1027</v>
      </c>
      <c r="G103" s="3" t="s">
        <v>488</v>
      </c>
      <c r="H103" s="5" t="s">
        <v>55</v>
      </c>
    </row>
    <row r="104" spans="1:8" ht="19.5" customHeight="1" x14ac:dyDescent="0.3">
      <c r="A104" s="2">
        <v>103</v>
      </c>
      <c r="B104" s="8" t="s">
        <v>10</v>
      </c>
      <c r="C104" s="10" t="s">
        <v>495</v>
      </c>
      <c r="D104" s="16">
        <v>600</v>
      </c>
      <c r="E104" s="3"/>
      <c r="F104" s="3">
        <f>F103+D104</f>
        <v>1627</v>
      </c>
      <c r="G104" s="3"/>
      <c r="H104" s="16" t="s">
        <v>496</v>
      </c>
    </row>
    <row r="105" spans="1:8" ht="21" x14ac:dyDescent="0.7">
      <c r="A105" s="2">
        <v>104</v>
      </c>
      <c r="B105" s="8" t="s">
        <v>10</v>
      </c>
      <c r="C105" s="10" t="s">
        <v>501</v>
      </c>
      <c r="D105" s="3"/>
      <c r="E105" s="3">
        <v>10</v>
      </c>
      <c r="F105" s="3">
        <f t="shared" ref="F105:F110" si="16">F104-E105</f>
        <v>1617</v>
      </c>
      <c r="G105" s="3">
        <v>4207</v>
      </c>
      <c r="H105" s="5" t="s">
        <v>502</v>
      </c>
    </row>
    <row r="106" spans="1:8" ht="21" x14ac:dyDescent="0.7">
      <c r="A106" s="2">
        <v>105</v>
      </c>
      <c r="B106" s="8" t="s">
        <v>10</v>
      </c>
      <c r="C106" s="10" t="s">
        <v>506</v>
      </c>
      <c r="D106" s="3"/>
      <c r="E106" s="3">
        <v>10</v>
      </c>
      <c r="F106" s="3">
        <f t="shared" si="16"/>
        <v>1607</v>
      </c>
      <c r="G106" s="3">
        <v>4216</v>
      </c>
      <c r="H106" s="5" t="s">
        <v>514</v>
      </c>
    </row>
    <row r="107" spans="1:8" ht="21" x14ac:dyDescent="0.7">
      <c r="A107" s="2">
        <v>106</v>
      </c>
      <c r="B107" s="8" t="s">
        <v>10</v>
      </c>
      <c r="C107" s="10" t="s">
        <v>516</v>
      </c>
      <c r="D107" s="3"/>
      <c r="E107" s="3">
        <v>10</v>
      </c>
      <c r="F107" s="3">
        <f t="shared" si="16"/>
        <v>1597</v>
      </c>
      <c r="G107" s="3">
        <v>4221</v>
      </c>
      <c r="H107" s="5" t="s">
        <v>168</v>
      </c>
    </row>
    <row r="108" spans="1:8" ht="21" x14ac:dyDescent="0.7">
      <c r="A108" s="2">
        <v>107</v>
      </c>
      <c r="B108" s="8" t="s">
        <v>10</v>
      </c>
      <c r="C108" s="10" t="s">
        <v>517</v>
      </c>
      <c r="D108" s="3"/>
      <c r="E108" s="3">
        <v>16</v>
      </c>
      <c r="F108" s="3">
        <f t="shared" si="16"/>
        <v>1581</v>
      </c>
      <c r="G108" s="3">
        <v>4226</v>
      </c>
      <c r="H108" s="5" t="s">
        <v>128</v>
      </c>
    </row>
    <row r="109" spans="1:8" ht="21" x14ac:dyDescent="0.7">
      <c r="A109" s="2">
        <v>108</v>
      </c>
      <c r="B109" s="8" t="s">
        <v>10</v>
      </c>
      <c r="C109" s="10" t="s">
        <v>519</v>
      </c>
      <c r="D109" s="3"/>
      <c r="E109" s="3">
        <v>12</v>
      </c>
      <c r="F109" s="3">
        <f t="shared" si="16"/>
        <v>1569</v>
      </c>
      <c r="G109" s="3" t="s">
        <v>520</v>
      </c>
      <c r="H109" s="5" t="s">
        <v>55</v>
      </c>
    </row>
    <row r="110" spans="1:8" ht="21" x14ac:dyDescent="0.7">
      <c r="A110" s="2">
        <v>109</v>
      </c>
      <c r="B110" s="8" t="s">
        <v>10</v>
      </c>
      <c r="C110" s="10" t="s">
        <v>531</v>
      </c>
      <c r="D110" s="3"/>
      <c r="E110" s="3">
        <v>50</v>
      </c>
      <c r="F110" s="3">
        <f t="shared" si="16"/>
        <v>1519</v>
      </c>
      <c r="G110" s="3" t="s">
        <v>532</v>
      </c>
      <c r="H110" s="5" t="s">
        <v>55</v>
      </c>
    </row>
    <row r="111" spans="1:8" ht="21" x14ac:dyDescent="0.7">
      <c r="A111" s="2">
        <v>110</v>
      </c>
      <c r="B111" s="8" t="s">
        <v>10</v>
      </c>
      <c r="C111" s="10" t="s">
        <v>531</v>
      </c>
      <c r="D111" s="3"/>
      <c r="E111" s="3">
        <v>1</v>
      </c>
      <c r="F111" s="3">
        <f t="shared" ref="F111:F116" si="17">F110-E111</f>
        <v>1518</v>
      </c>
      <c r="G111" s="3">
        <v>4235</v>
      </c>
      <c r="H111" s="5" t="s">
        <v>533</v>
      </c>
    </row>
    <row r="112" spans="1:8" ht="21" x14ac:dyDescent="0.7">
      <c r="A112" s="2">
        <v>111</v>
      </c>
      <c r="B112" s="8" t="s">
        <v>10</v>
      </c>
      <c r="C112" s="10" t="s">
        <v>543</v>
      </c>
      <c r="D112" s="3"/>
      <c r="E112" s="3">
        <v>2</v>
      </c>
      <c r="F112" s="3">
        <f t="shared" si="17"/>
        <v>1516</v>
      </c>
      <c r="G112" s="3">
        <v>4262</v>
      </c>
      <c r="H112" s="5" t="s">
        <v>545</v>
      </c>
    </row>
    <row r="113" spans="1:8" ht="21" x14ac:dyDescent="0.7">
      <c r="A113" s="2">
        <v>112</v>
      </c>
      <c r="B113" s="8" t="s">
        <v>10</v>
      </c>
      <c r="C113" s="10" t="s">
        <v>548</v>
      </c>
      <c r="D113" s="3"/>
      <c r="E113" s="3">
        <v>5</v>
      </c>
      <c r="F113" s="3">
        <f t="shared" si="17"/>
        <v>1511</v>
      </c>
      <c r="G113" s="3">
        <v>4250</v>
      </c>
      <c r="H113" s="5" t="s">
        <v>549</v>
      </c>
    </row>
    <row r="114" spans="1:8" ht="21" x14ac:dyDescent="0.7">
      <c r="A114" s="2">
        <v>113</v>
      </c>
      <c r="B114" s="8" t="s">
        <v>10</v>
      </c>
      <c r="C114" s="10" t="s">
        <v>554</v>
      </c>
      <c r="D114" s="3"/>
      <c r="E114" s="3">
        <v>5</v>
      </c>
      <c r="F114" s="3">
        <f t="shared" si="17"/>
        <v>1506</v>
      </c>
      <c r="G114" s="3">
        <v>4271</v>
      </c>
      <c r="H114" s="5" t="s">
        <v>149</v>
      </c>
    </row>
    <row r="115" spans="1:8" ht="21" x14ac:dyDescent="0.7">
      <c r="A115" s="2">
        <v>114</v>
      </c>
      <c r="B115" s="8" t="s">
        <v>10</v>
      </c>
      <c r="C115" s="10" t="s">
        <v>557</v>
      </c>
      <c r="D115" s="3"/>
      <c r="E115" s="3">
        <v>12</v>
      </c>
      <c r="F115" s="3">
        <f t="shared" si="17"/>
        <v>1494</v>
      </c>
      <c r="G115" s="3" t="s">
        <v>559</v>
      </c>
      <c r="H115" s="5" t="s">
        <v>55</v>
      </c>
    </row>
    <row r="116" spans="1:8" ht="21" x14ac:dyDescent="0.7">
      <c r="A116" s="2">
        <v>115</v>
      </c>
      <c r="B116" s="8" t="s">
        <v>10</v>
      </c>
      <c r="C116" s="10" t="s">
        <v>560</v>
      </c>
      <c r="D116" s="3"/>
      <c r="E116" s="3">
        <v>1</v>
      </c>
      <c r="F116" s="3">
        <f t="shared" si="17"/>
        <v>1493</v>
      </c>
      <c r="G116" s="3">
        <v>4278</v>
      </c>
      <c r="H116" s="5" t="s">
        <v>562</v>
      </c>
    </row>
    <row r="117" spans="1:8" ht="21" x14ac:dyDescent="0.7">
      <c r="A117" s="2">
        <v>116</v>
      </c>
      <c r="B117" s="8" t="s">
        <v>10</v>
      </c>
      <c r="C117" s="10" t="s">
        <v>565</v>
      </c>
      <c r="D117" s="3"/>
      <c r="E117" s="3">
        <v>8</v>
      </c>
      <c r="F117" s="3">
        <f t="shared" ref="F117:F122" si="18">F116-E117</f>
        <v>1485</v>
      </c>
      <c r="G117" s="3">
        <v>4285</v>
      </c>
      <c r="H117" s="5" t="s">
        <v>566</v>
      </c>
    </row>
    <row r="118" spans="1:8" ht="21" x14ac:dyDescent="0.7">
      <c r="A118" s="2">
        <v>117</v>
      </c>
      <c r="B118" s="8" t="s">
        <v>10</v>
      </c>
      <c r="C118" s="10" t="s">
        <v>571</v>
      </c>
      <c r="D118" s="3"/>
      <c r="E118" s="3">
        <v>12</v>
      </c>
      <c r="F118" s="3">
        <f t="shared" si="18"/>
        <v>1473</v>
      </c>
      <c r="G118" s="3" t="s">
        <v>572</v>
      </c>
      <c r="H118" s="5" t="s">
        <v>55</v>
      </c>
    </row>
    <row r="119" spans="1:8" ht="21" x14ac:dyDescent="0.7">
      <c r="A119" s="2">
        <v>118</v>
      </c>
      <c r="B119" s="8" t="s">
        <v>10</v>
      </c>
      <c r="C119" s="10" t="s">
        <v>576</v>
      </c>
      <c r="D119" s="3"/>
      <c r="E119" s="3">
        <v>4</v>
      </c>
      <c r="F119" s="3">
        <f t="shared" si="18"/>
        <v>1469</v>
      </c>
      <c r="G119" s="3" t="s">
        <v>577</v>
      </c>
      <c r="H119" s="5" t="s">
        <v>579</v>
      </c>
    </row>
    <row r="120" spans="1:8" ht="21" x14ac:dyDescent="0.7">
      <c r="A120" s="2">
        <v>119</v>
      </c>
      <c r="B120" s="8" t="s">
        <v>10</v>
      </c>
      <c r="C120" s="10" t="s">
        <v>582</v>
      </c>
      <c r="D120" s="3"/>
      <c r="E120" s="3">
        <v>6</v>
      </c>
      <c r="F120" s="3">
        <f t="shared" si="18"/>
        <v>1463</v>
      </c>
      <c r="G120" s="3">
        <v>4298</v>
      </c>
      <c r="H120" s="5" t="s">
        <v>545</v>
      </c>
    </row>
    <row r="121" spans="1:8" ht="21" x14ac:dyDescent="0.7">
      <c r="A121" s="2">
        <v>120</v>
      </c>
      <c r="B121" s="8" t="s">
        <v>10</v>
      </c>
      <c r="C121" s="10" t="s">
        <v>582</v>
      </c>
      <c r="D121" s="3"/>
      <c r="E121" s="3">
        <v>1</v>
      </c>
      <c r="F121" s="3">
        <f t="shared" si="18"/>
        <v>1462</v>
      </c>
      <c r="G121" s="3">
        <v>4300</v>
      </c>
      <c r="H121" s="5" t="s">
        <v>545</v>
      </c>
    </row>
    <row r="122" spans="1:8" ht="21" x14ac:dyDescent="0.7">
      <c r="A122" s="2">
        <v>121</v>
      </c>
      <c r="B122" s="8" t="s">
        <v>10</v>
      </c>
      <c r="C122" s="10" t="s">
        <v>582</v>
      </c>
      <c r="D122" s="3"/>
      <c r="E122" s="3">
        <v>1</v>
      </c>
      <c r="F122" s="3">
        <f t="shared" si="18"/>
        <v>1461</v>
      </c>
      <c r="G122" s="3">
        <v>4301</v>
      </c>
      <c r="H122" s="5" t="s">
        <v>545</v>
      </c>
    </row>
    <row r="123" spans="1:8" ht="21" x14ac:dyDescent="0.7">
      <c r="A123" s="2">
        <v>122</v>
      </c>
      <c r="B123" s="8" t="s">
        <v>10</v>
      </c>
      <c r="C123" s="10" t="s">
        <v>583</v>
      </c>
      <c r="D123" s="3"/>
      <c r="E123" s="3">
        <v>12</v>
      </c>
      <c r="F123" s="3">
        <f t="shared" ref="F123:F128" si="19">F122-E123</f>
        <v>1449</v>
      </c>
      <c r="G123" s="3" t="s">
        <v>584</v>
      </c>
      <c r="H123" s="5" t="s">
        <v>55</v>
      </c>
    </row>
    <row r="124" spans="1:8" ht="21" x14ac:dyDescent="0.7">
      <c r="A124" s="2">
        <v>123</v>
      </c>
      <c r="B124" s="8" t="s">
        <v>10</v>
      </c>
      <c r="C124" s="10" t="s">
        <v>591</v>
      </c>
      <c r="D124" s="3"/>
      <c r="E124" s="3">
        <v>12</v>
      </c>
      <c r="F124" s="3">
        <f t="shared" si="19"/>
        <v>1437</v>
      </c>
      <c r="G124" s="3" t="s">
        <v>592</v>
      </c>
      <c r="H124" s="5" t="s">
        <v>55</v>
      </c>
    </row>
    <row r="125" spans="1:8" ht="21" x14ac:dyDescent="0.7">
      <c r="A125" s="2">
        <v>124</v>
      </c>
      <c r="B125" s="8" t="s">
        <v>10</v>
      </c>
      <c r="C125" s="10" t="s">
        <v>596</v>
      </c>
      <c r="D125" s="3"/>
      <c r="E125" s="3">
        <v>12</v>
      </c>
      <c r="F125" s="3">
        <f t="shared" si="19"/>
        <v>1425</v>
      </c>
      <c r="G125" s="3" t="s">
        <v>597</v>
      </c>
      <c r="H125" s="5" t="s">
        <v>55</v>
      </c>
    </row>
    <row r="126" spans="1:8" ht="21" x14ac:dyDescent="0.7">
      <c r="A126" s="2">
        <v>125</v>
      </c>
      <c r="B126" s="8" t="s">
        <v>10</v>
      </c>
      <c r="C126" s="10" t="s">
        <v>605</v>
      </c>
      <c r="D126" s="3"/>
      <c r="E126" s="3">
        <v>2</v>
      </c>
      <c r="F126" s="3">
        <f t="shared" si="19"/>
        <v>1423</v>
      </c>
      <c r="G126" s="3" t="s">
        <v>606</v>
      </c>
      <c r="H126" s="5" t="s">
        <v>579</v>
      </c>
    </row>
    <row r="127" spans="1:8" ht="21" x14ac:dyDescent="0.7">
      <c r="A127" s="2">
        <v>126</v>
      </c>
      <c r="B127" s="8" t="s">
        <v>10</v>
      </c>
      <c r="C127" s="10" t="s">
        <v>610</v>
      </c>
      <c r="D127" s="3"/>
      <c r="E127" s="3">
        <v>4</v>
      </c>
      <c r="F127" s="3">
        <f t="shared" si="19"/>
        <v>1419</v>
      </c>
      <c r="G127" s="3">
        <v>4334</v>
      </c>
      <c r="H127" s="5" t="s">
        <v>612</v>
      </c>
    </row>
    <row r="128" spans="1:8" ht="21" x14ac:dyDescent="0.7">
      <c r="A128" s="2">
        <v>127</v>
      </c>
      <c r="B128" s="8" t="s">
        <v>10</v>
      </c>
      <c r="C128" s="10" t="s">
        <v>615</v>
      </c>
      <c r="D128" s="3"/>
      <c r="E128" s="3">
        <v>24</v>
      </c>
      <c r="F128" s="3">
        <f t="shared" si="19"/>
        <v>1395</v>
      </c>
      <c r="G128" s="3" t="s">
        <v>616</v>
      </c>
      <c r="H128" s="5" t="s">
        <v>55</v>
      </c>
    </row>
    <row r="129" spans="1:8" ht="21" x14ac:dyDescent="0.7">
      <c r="A129" s="2">
        <v>128</v>
      </c>
      <c r="B129" s="8" t="s">
        <v>10</v>
      </c>
      <c r="C129" s="10" t="s">
        <v>615</v>
      </c>
      <c r="D129" s="3"/>
      <c r="E129" s="3">
        <v>2</v>
      </c>
      <c r="F129" s="3">
        <f t="shared" ref="F129:F134" si="20">F128-E129</f>
        <v>1393</v>
      </c>
      <c r="G129" s="3">
        <v>4339</v>
      </c>
      <c r="H129" s="5" t="s">
        <v>618</v>
      </c>
    </row>
    <row r="130" spans="1:8" ht="21" x14ac:dyDescent="0.7">
      <c r="A130" s="2">
        <v>129</v>
      </c>
      <c r="B130" s="8" t="s">
        <v>10</v>
      </c>
      <c r="C130" s="10" t="s">
        <v>621</v>
      </c>
      <c r="D130" s="3"/>
      <c r="E130" s="3">
        <v>12</v>
      </c>
      <c r="F130" s="3">
        <f t="shared" si="20"/>
        <v>1381</v>
      </c>
      <c r="G130" s="3" t="s">
        <v>622</v>
      </c>
      <c r="H130" s="5" t="s">
        <v>55</v>
      </c>
    </row>
    <row r="131" spans="1:8" ht="21" x14ac:dyDescent="0.7">
      <c r="A131" s="2">
        <v>130</v>
      </c>
      <c r="B131" s="8" t="s">
        <v>10</v>
      </c>
      <c r="C131" s="10" t="s">
        <v>629</v>
      </c>
      <c r="D131" s="3"/>
      <c r="E131" s="3">
        <v>1</v>
      </c>
      <c r="F131" s="3">
        <f t="shared" si="20"/>
        <v>1380</v>
      </c>
      <c r="G131" s="3" t="s">
        <v>630</v>
      </c>
      <c r="H131" s="5" t="s">
        <v>452</v>
      </c>
    </row>
    <row r="132" spans="1:8" ht="21" x14ac:dyDescent="0.7">
      <c r="A132" s="2">
        <v>131</v>
      </c>
      <c r="B132" s="8" t="s">
        <v>10</v>
      </c>
      <c r="C132" s="10" t="s">
        <v>631</v>
      </c>
      <c r="D132" s="3"/>
      <c r="E132" s="3">
        <v>12</v>
      </c>
      <c r="F132" s="3">
        <f t="shared" si="20"/>
        <v>1368</v>
      </c>
      <c r="G132" s="3" t="s">
        <v>632</v>
      </c>
      <c r="H132" s="5" t="s">
        <v>55</v>
      </c>
    </row>
    <row r="133" spans="1:8" ht="21" x14ac:dyDescent="0.7">
      <c r="A133" s="2">
        <v>132</v>
      </c>
      <c r="B133" s="8" t="s">
        <v>10</v>
      </c>
      <c r="C133" s="10" t="s">
        <v>637</v>
      </c>
      <c r="D133" s="3"/>
      <c r="E133" s="3">
        <v>12</v>
      </c>
      <c r="F133" s="3">
        <f t="shared" si="20"/>
        <v>1356</v>
      </c>
      <c r="G133" s="3" t="s">
        <v>638</v>
      </c>
      <c r="H133" s="5" t="s">
        <v>55</v>
      </c>
    </row>
    <row r="134" spans="1:8" ht="21" x14ac:dyDescent="0.7">
      <c r="A134" s="2">
        <v>133</v>
      </c>
      <c r="B134" s="8" t="s">
        <v>10</v>
      </c>
      <c r="C134" s="10" t="s">
        <v>637</v>
      </c>
      <c r="D134" s="3"/>
      <c r="E134" s="3">
        <v>8</v>
      </c>
      <c r="F134" s="3">
        <f t="shared" si="20"/>
        <v>1348</v>
      </c>
      <c r="G134" s="3">
        <v>4362</v>
      </c>
      <c r="H134" s="5" t="s">
        <v>149</v>
      </c>
    </row>
    <row r="135" spans="1:8" ht="21" x14ac:dyDescent="0.7">
      <c r="A135" s="2">
        <v>134</v>
      </c>
      <c r="B135" s="8" t="s">
        <v>10</v>
      </c>
      <c r="C135" s="10" t="s">
        <v>642</v>
      </c>
      <c r="D135" s="3"/>
      <c r="E135" s="3">
        <v>12</v>
      </c>
      <c r="F135" s="3">
        <f t="shared" ref="F135:F140" si="21">F134-E135</f>
        <v>1336</v>
      </c>
      <c r="G135" s="3" t="s">
        <v>643</v>
      </c>
      <c r="H135" s="5" t="s">
        <v>55</v>
      </c>
    </row>
    <row r="136" spans="1:8" ht="21" x14ac:dyDescent="0.7">
      <c r="A136" s="2">
        <v>135</v>
      </c>
      <c r="B136" s="8" t="s">
        <v>10</v>
      </c>
      <c r="C136" s="10" t="s">
        <v>644</v>
      </c>
      <c r="D136" s="3"/>
      <c r="E136" s="3">
        <v>12</v>
      </c>
      <c r="F136" s="3">
        <f t="shared" si="21"/>
        <v>1324</v>
      </c>
      <c r="G136" s="3" t="s">
        <v>645</v>
      </c>
      <c r="H136" s="5" t="s">
        <v>55</v>
      </c>
    </row>
    <row r="137" spans="1:8" ht="21" x14ac:dyDescent="0.7">
      <c r="A137" s="2">
        <v>136</v>
      </c>
      <c r="B137" s="8" t="s">
        <v>10</v>
      </c>
      <c r="C137" s="10" t="s">
        <v>649</v>
      </c>
      <c r="D137" s="3"/>
      <c r="E137" s="3">
        <v>8</v>
      </c>
      <c r="F137" s="3">
        <f t="shared" si="21"/>
        <v>1316</v>
      </c>
      <c r="G137" s="3">
        <v>4380</v>
      </c>
      <c r="H137" s="5" t="s">
        <v>639</v>
      </c>
    </row>
    <row r="138" spans="1:8" ht="21" x14ac:dyDescent="0.7">
      <c r="A138" s="2">
        <v>137</v>
      </c>
      <c r="B138" s="8" t="s">
        <v>10</v>
      </c>
      <c r="C138" s="10" t="s">
        <v>654</v>
      </c>
      <c r="D138" s="3"/>
      <c r="E138" s="3">
        <v>12</v>
      </c>
      <c r="F138" s="3">
        <f t="shared" si="21"/>
        <v>1304</v>
      </c>
      <c r="G138" s="3" t="s">
        <v>655</v>
      </c>
      <c r="H138" s="5" t="s">
        <v>55</v>
      </c>
    </row>
    <row r="139" spans="1:8" ht="21" x14ac:dyDescent="0.7">
      <c r="A139" s="2">
        <v>138</v>
      </c>
      <c r="B139" s="8" t="s">
        <v>10</v>
      </c>
      <c r="C139" s="10" t="s">
        <v>656</v>
      </c>
      <c r="D139" s="3"/>
      <c r="E139" s="3">
        <v>24</v>
      </c>
      <c r="F139" s="3">
        <f t="shared" si="21"/>
        <v>1280</v>
      </c>
      <c r="G139" s="3" t="s">
        <v>657</v>
      </c>
      <c r="H139" s="5" t="s">
        <v>55</v>
      </c>
    </row>
    <row r="140" spans="1:8" ht="21" x14ac:dyDescent="0.7">
      <c r="A140" s="2">
        <v>139</v>
      </c>
      <c r="B140" s="8" t="s">
        <v>10</v>
      </c>
      <c r="C140" s="10" t="s">
        <v>660</v>
      </c>
      <c r="D140" s="3"/>
      <c r="E140" s="3">
        <v>12</v>
      </c>
      <c r="F140" s="3">
        <f t="shared" si="21"/>
        <v>1268</v>
      </c>
      <c r="G140" s="3" t="s">
        <v>661</v>
      </c>
      <c r="H140" s="5" t="s">
        <v>55</v>
      </c>
    </row>
    <row r="141" spans="1:8" ht="21" x14ac:dyDescent="0.7">
      <c r="A141" s="2">
        <v>140</v>
      </c>
      <c r="B141" s="8" t="s">
        <v>10</v>
      </c>
      <c r="C141" s="10" t="s">
        <v>664</v>
      </c>
      <c r="D141" s="3"/>
      <c r="E141" s="3">
        <v>80</v>
      </c>
      <c r="F141" s="3">
        <f t="shared" ref="F141:F146" si="22">F140-E141</f>
        <v>1188</v>
      </c>
      <c r="G141" s="3">
        <v>4399</v>
      </c>
      <c r="H141" s="5" t="s">
        <v>434</v>
      </c>
    </row>
    <row r="142" spans="1:8" ht="21" x14ac:dyDescent="0.7">
      <c r="A142" s="2">
        <v>141</v>
      </c>
      <c r="B142" s="8" t="s">
        <v>10</v>
      </c>
      <c r="C142" s="10" t="s">
        <v>665</v>
      </c>
      <c r="D142" s="3"/>
      <c r="E142" s="3">
        <v>1</v>
      </c>
      <c r="F142" s="3">
        <f t="shared" si="22"/>
        <v>1187</v>
      </c>
      <c r="G142" s="3">
        <v>4401</v>
      </c>
      <c r="H142" s="5" t="s">
        <v>66</v>
      </c>
    </row>
    <row r="143" spans="1:8" ht="21" x14ac:dyDescent="0.7">
      <c r="A143" s="2">
        <v>142</v>
      </c>
      <c r="B143" s="8" t="s">
        <v>10</v>
      </c>
      <c r="C143" s="10" t="s">
        <v>667</v>
      </c>
      <c r="D143" s="3"/>
      <c r="E143" s="3">
        <v>12</v>
      </c>
      <c r="F143" s="3">
        <f t="shared" si="22"/>
        <v>1175</v>
      </c>
      <c r="G143" s="3" t="s">
        <v>668</v>
      </c>
      <c r="H143" s="5" t="s">
        <v>55</v>
      </c>
    </row>
    <row r="144" spans="1:8" ht="21" x14ac:dyDescent="0.7">
      <c r="A144" s="2">
        <v>143</v>
      </c>
      <c r="B144" s="8" t="s">
        <v>10</v>
      </c>
      <c r="C144" s="10" t="s">
        <v>672</v>
      </c>
      <c r="D144" s="3"/>
      <c r="E144" s="3">
        <v>2</v>
      </c>
      <c r="F144" s="3">
        <f t="shared" si="22"/>
        <v>1173</v>
      </c>
      <c r="G144" s="3">
        <v>4404</v>
      </c>
      <c r="H144" s="5" t="s">
        <v>618</v>
      </c>
    </row>
    <row r="145" spans="1:8" ht="21" x14ac:dyDescent="0.7">
      <c r="A145" s="2">
        <v>144</v>
      </c>
      <c r="B145" s="8" t="s">
        <v>10</v>
      </c>
      <c r="C145" s="10" t="s">
        <v>677</v>
      </c>
      <c r="D145" s="3"/>
      <c r="E145" s="3">
        <v>12</v>
      </c>
      <c r="F145" s="3">
        <f t="shared" si="22"/>
        <v>1161</v>
      </c>
      <c r="G145" s="3" t="s">
        <v>678</v>
      </c>
      <c r="H145" s="5" t="s">
        <v>55</v>
      </c>
    </row>
    <row r="146" spans="1:8" ht="21" x14ac:dyDescent="0.7">
      <c r="A146" s="2">
        <v>145</v>
      </c>
      <c r="B146" s="8" t="s">
        <v>10</v>
      </c>
      <c r="C146" s="10" t="s">
        <v>679</v>
      </c>
      <c r="D146" s="3"/>
      <c r="E146" s="3">
        <v>12</v>
      </c>
      <c r="F146" s="3">
        <f t="shared" si="22"/>
        <v>1149</v>
      </c>
      <c r="G146" s="3" t="s">
        <v>680</v>
      </c>
      <c r="H146" s="5" t="s">
        <v>55</v>
      </c>
    </row>
    <row r="147" spans="1:8" ht="21" x14ac:dyDescent="0.7">
      <c r="A147" s="2">
        <v>146</v>
      </c>
      <c r="B147" s="8" t="s">
        <v>10</v>
      </c>
      <c r="C147" s="10" t="s">
        <v>683</v>
      </c>
      <c r="D147" s="3"/>
      <c r="E147" s="3">
        <v>16</v>
      </c>
      <c r="F147" s="3">
        <f t="shared" ref="F147:F152" si="23">F146-E147</f>
        <v>1133</v>
      </c>
      <c r="G147" s="3">
        <v>4416</v>
      </c>
      <c r="H147" s="5" t="s">
        <v>128</v>
      </c>
    </row>
    <row r="148" spans="1:8" ht="21" x14ac:dyDescent="0.7">
      <c r="A148" s="2">
        <v>147</v>
      </c>
      <c r="B148" s="8" t="s">
        <v>10</v>
      </c>
      <c r="C148" s="10" t="s">
        <v>684</v>
      </c>
      <c r="D148" s="3"/>
      <c r="E148" s="3">
        <v>12</v>
      </c>
      <c r="F148" s="3">
        <f t="shared" si="23"/>
        <v>1121</v>
      </c>
      <c r="G148" s="3" t="s">
        <v>686</v>
      </c>
      <c r="H148" s="5" t="s">
        <v>49</v>
      </c>
    </row>
    <row r="149" spans="1:8" ht="21" x14ac:dyDescent="0.7">
      <c r="A149" s="2">
        <v>148</v>
      </c>
      <c r="B149" s="8" t="s">
        <v>10</v>
      </c>
      <c r="C149" s="10" t="s">
        <v>689</v>
      </c>
      <c r="D149" s="3"/>
      <c r="E149" s="3">
        <v>20</v>
      </c>
      <c r="F149" s="3">
        <f t="shared" si="23"/>
        <v>1101</v>
      </c>
      <c r="G149" s="3" t="s">
        <v>691</v>
      </c>
      <c r="H149" s="5" t="s">
        <v>690</v>
      </c>
    </row>
    <row r="150" spans="1:8" ht="21" x14ac:dyDescent="0.7">
      <c r="A150" s="2">
        <v>149</v>
      </c>
      <c r="B150" s="8" t="s">
        <v>10</v>
      </c>
      <c r="C150" s="10" t="s">
        <v>693</v>
      </c>
      <c r="D150" s="3"/>
      <c r="E150" s="3">
        <v>24</v>
      </c>
      <c r="F150" s="3">
        <f t="shared" si="23"/>
        <v>1077</v>
      </c>
      <c r="G150" s="3" t="s">
        <v>694</v>
      </c>
      <c r="H150" s="5" t="s">
        <v>55</v>
      </c>
    </row>
    <row r="151" spans="1:8" ht="21" x14ac:dyDescent="0.7">
      <c r="A151" s="2">
        <v>150</v>
      </c>
      <c r="B151" s="8" t="s">
        <v>10</v>
      </c>
      <c r="C151" s="10" t="s">
        <v>698</v>
      </c>
      <c r="D151" s="3"/>
      <c r="E151" s="3">
        <v>4</v>
      </c>
      <c r="F151" s="3">
        <f t="shared" si="23"/>
        <v>1073</v>
      </c>
      <c r="G151" s="3">
        <v>4451</v>
      </c>
      <c r="H151" s="5" t="s">
        <v>545</v>
      </c>
    </row>
    <row r="152" spans="1:8" ht="21" x14ac:dyDescent="0.7">
      <c r="A152" s="2">
        <v>151</v>
      </c>
      <c r="B152" s="8" t="s">
        <v>10</v>
      </c>
      <c r="C152" s="10" t="s">
        <v>703</v>
      </c>
      <c r="D152" s="3"/>
      <c r="E152" s="3">
        <v>50</v>
      </c>
      <c r="F152" s="3">
        <f t="shared" si="23"/>
        <v>1023</v>
      </c>
      <c r="G152" s="3">
        <v>4456</v>
      </c>
      <c r="H152" s="5" t="s">
        <v>704</v>
      </c>
    </row>
    <row r="153" spans="1:8" ht="21" x14ac:dyDescent="0.7">
      <c r="A153" s="2">
        <v>152</v>
      </c>
      <c r="B153" s="8" t="s">
        <v>10</v>
      </c>
      <c r="C153" s="10" t="s">
        <v>716</v>
      </c>
      <c r="D153" s="3"/>
      <c r="E153" s="3">
        <v>60</v>
      </c>
      <c r="F153" s="3">
        <f t="shared" ref="F153:F158" si="24">F152-E153</f>
        <v>963</v>
      </c>
      <c r="G153" s="3">
        <v>4473</v>
      </c>
      <c r="H153" s="5" t="s">
        <v>717</v>
      </c>
    </row>
    <row r="154" spans="1:8" ht="21" x14ac:dyDescent="0.7">
      <c r="A154" s="2">
        <v>153</v>
      </c>
      <c r="B154" s="8" t="s">
        <v>10</v>
      </c>
      <c r="C154" s="10" t="s">
        <v>721</v>
      </c>
      <c r="D154" s="3"/>
      <c r="E154" s="3">
        <v>2</v>
      </c>
      <c r="F154" s="3">
        <f t="shared" si="24"/>
        <v>961</v>
      </c>
      <c r="G154" s="3">
        <v>4477</v>
      </c>
      <c r="H154" s="5" t="s">
        <v>79</v>
      </c>
    </row>
    <row r="155" spans="1:8" ht="21" x14ac:dyDescent="0.7">
      <c r="A155" s="2">
        <v>154</v>
      </c>
      <c r="B155" s="8" t="s">
        <v>10</v>
      </c>
      <c r="C155" s="10" t="s">
        <v>724</v>
      </c>
      <c r="D155" s="3"/>
      <c r="E155" s="3">
        <v>60</v>
      </c>
      <c r="F155" s="3">
        <f t="shared" si="24"/>
        <v>901</v>
      </c>
      <c r="G155" s="3">
        <v>4482</v>
      </c>
      <c r="H155" s="5" t="s">
        <v>43</v>
      </c>
    </row>
    <row r="156" spans="1:8" ht="21" x14ac:dyDescent="0.7">
      <c r="A156" s="2">
        <v>155</v>
      </c>
      <c r="B156" s="8" t="s">
        <v>10</v>
      </c>
      <c r="C156" s="10" t="s">
        <v>730</v>
      </c>
      <c r="D156" s="3"/>
      <c r="E156" s="3">
        <v>12</v>
      </c>
      <c r="F156" s="3">
        <f t="shared" si="24"/>
        <v>889</v>
      </c>
      <c r="G156" s="3" t="s">
        <v>731</v>
      </c>
      <c r="H156" s="5" t="s">
        <v>55</v>
      </c>
    </row>
    <row r="157" spans="1:8" ht="21" x14ac:dyDescent="0.7">
      <c r="A157" s="2">
        <v>156</v>
      </c>
      <c r="B157" s="8" t="s">
        <v>10</v>
      </c>
      <c r="C157" s="10" t="s">
        <v>732</v>
      </c>
      <c r="D157" s="3"/>
      <c r="E157" s="3">
        <v>2</v>
      </c>
      <c r="F157" s="3">
        <f t="shared" si="24"/>
        <v>887</v>
      </c>
      <c r="G157" s="3">
        <v>4484</v>
      </c>
      <c r="H157" s="5" t="s">
        <v>354</v>
      </c>
    </row>
    <row r="158" spans="1:8" ht="21" x14ac:dyDescent="0.7">
      <c r="A158" s="2">
        <v>157</v>
      </c>
      <c r="B158" s="8" t="s">
        <v>10</v>
      </c>
      <c r="C158" s="10" t="s">
        <v>733</v>
      </c>
      <c r="D158" s="3"/>
      <c r="E158" s="3">
        <v>1</v>
      </c>
      <c r="F158" s="3">
        <f t="shared" si="24"/>
        <v>886</v>
      </c>
      <c r="G158" s="3">
        <v>4494</v>
      </c>
      <c r="H158" s="5" t="s">
        <v>308</v>
      </c>
    </row>
    <row r="159" spans="1:8" ht="21" x14ac:dyDescent="0.7">
      <c r="A159" s="2">
        <v>158</v>
      </c>
      <c r="B159" s="8" t="s">
        <v>10</v>
      </c>
      <c r="C159" s="10" t="s">
        <v>735</v>
      </c>
      <c r="D159" s="3"/>
      <c r="E159" s="3">
        <v>12</v>
      </c>
      <c r="F159" s="3">
        <f t="shared" ref="F159:F164" si="25">F158-E159</f>
        <v>874</v>
      </c>
      <c r="G159" s="3">
        <v>4500</v>
      </c>
      <c r="H159" s="5" t="s">
        <v>149</v>
      </c>
    </row>
    <row r="160" spans="1:8" ht="21" x14ac:dyDescent="0.7">
      <c r="A160" s="2">
        <v>159</v>
      </c>
      <c r="B160" s="8" t="s">
        <v>10</v>
      </c>
      <c r="C160" s="10" t="s">
        <v>745</v>
      </c>
      <c r="D160" s="3"/>
      <c r="E160" s="3">
        <v>60</v>
      </c>
      <c r="F160" s="3">
        <f t="shared" si="25"/>
        <v>814</v>
      </c>
      <c r="G160" s="3">
        <v>4515</v>
      </c>
      <c r="H160" s="5" t="s">
        <v>400</v>
      </c>
    </row>
    <row r="161" spans="1:8" ht="21" x14ac:dyDescent="0.7">
      <c r="A161" s="2">
        <v>160</v>
      </c>
      <c r="B161" s="8" t="s">
        <v>10</v>
      </c>
      <c r="C161" s="10" t="s">
        <v>745</v>
      </c>
      <c r="D161" s="3"/>
      <c r="E161" s="3">
        <v>4</v>
      </c>
      <c r="F161" s="3">
        <f t="shared" si="25"/>
        <v>810</v>
      </c>
      <c r="G161" s="3">
        <v>4514</v>
      </c>
      <c r="H161" s="5" t="s">
        <v>150</v>
      </c>
    </row>
    <row r="162" spans="1:8" ht="21" x14ac:dyDescent="0.7">
      <c r="A162" s="2">
        <v>161</v>
      </c>
      <c r="B162" s="8" t="s">
        <v>10</v>
      </c>
      <c r="C162" s="10" t="s">
        <v>745</v>
      </c>
      <c r="D162" s="3"/>
      <c r="E162" s="3">
        <v>5</v>
      </c>
      <c r="F162" s="3">
        <f t="shared" si="25"/>
        <v>805</v>
      </c>
      <c r="G162" s="3">
        <v>4511</v>
      </c>
      <c r="H162" s="5" t="s">
        <v>218</v>
      </c>
    </row>
    <row r="163" spans="1:8" ht="21" x14ac:dyDescent="0.7">
      <c r="A163" s="2">
        <v>162</v>
      </c>
      <c r="B163" s="8" t="s">
        <v>10</v>
      </c>
      <c r="C163" s="10" t="s">
        <v>747</v>
      </c>
      <c r="D163" s="3"/>
      <c r="E163" s="3">
        <v>6</v>
      </c>
      <c r="F163" s="3">
        <f t="shared" si="25"/>
        <v>799</v>
      </c>
      <c r="G163" s="3">
        <v>4510</v>
      </c>
      <c r="H163" s="5" t="s">
        <v>748</v>
      </c>
    </row>
    <row r="164" spans="1:8" ht="21" x14ac:dyDescent="0.7">
      <c r="A164" s="2">
        <v>163</v>
      </c>
      <c r="B164" s="8" t="s">
        <v>10</v>
      </c>
      <c r="C164" s="10" t="s">
        <v>749</v>
      </c>
      <c r="D164" s="3"/>
      <c r="E164" s="3">
        <v>24</v>
      </c>
      <c r="F164" s="3">
        <f t="shared" si="25"/>
        <v>775</v>
      </c>
      <c r="G164" s="3" t="s">
        <v>750</v>
      </c>
      <c r="H164" s="5" t="s">
        <v>55</v>
      </c>
    </row>
    <row r="165" spans="1:8" ht="21" x14ac:dyDescent="0.7">
      <c r="A165" s="2">
        <v>164</v>
      </c>
      <c r="B165" s="8" t="s">
        <v>10</v>
      </c>
      <c r="C165" s="10" t="s">
        <v>758</v>
      </c>
      <c r="D165" s="3"/>
      <c r="E165" s="3">
        <v>5</v>
      </c>
      <c r="F165" s="3">
        <f t="shared" ref="F165:F170" si="26">F164-E165</f>
        <v>770</v>
      </c>
      <c r="G165" s="3">
        <v>4537</v>
      </c>
      <c r="H165" s="5" t="s">
        <v>149</v>
      </c>
    </row>
    <row r="166" spans="1:8" ht="21" x14ac:dyDescent="0.7">
      <c r="A166" s="2">
        <v>165</v>
      </c>
      <c r="B166" s="8" t="s">
        <v>10</v>
      </c>
      <c r="C166" s="10" t="s">
        <v>758</v>
      </c>
      <c r="D166" s="3"/>
      <c r="E166" s="3">
        <v>12</v>
      </c>
      <c r="F166" s="3">
        <f t="shared" si="26"/>
        <v>758</v>
      </c>
      <c r="G166" s="3" t="s">
        <v>760</v>
      </c>
      <c r="H166" s="5" t="s">
        <v>55</v>
      </c>
    </row>
    <row r="167" spans="1:8" ht="21" x14ac:dyDescent="0.7">
      <c r="A167" s="2">
        <v>166</v>
      </c>
      <c r="B167" s="8" t="s">
        <v>10</v>
      </c>
      <c r="C167" s="10" t="s">
        <v>764</v>
      </c>
      <c r="D167" s="3"/>
      <c r="E167" s="3">
        <v>12</v>
      </c>
      <c r="F167" s="3">
        <f t="shared" si="26"/>
        <v>746</v>
      </c>
      <c r="G167" s="3" t="s">
        <v>765</v>
      </c>
      <c r="H167" s="5" t="s">
        <v>49</v>
      </c>
    </row>
    <row r="168" spans="1:8" ht="21" x14ac:dyDescent="0.7">
      <c r="A168" s="2">
        <v>167</v>
      </c>
      <c r="B168" s="8" t="s">
        <v>10</v>
      </c>
      <c r="C168" s="10" t="s">
        <v>758</v>
      </c>
      <c r="D168" s="3"/>
      <c r="E168" s="3">
        <v>20</v>
      </c>
      <c r="F168" s="3">
        <f t="shared" si="26"/>
        <v>726</v>
      </c>
      <c r="G168" s="3">
        <v>4539</v>
      </c>
      <c r="H168" s="5" t="s">
        <v>79</v>
      </c>
    </row>
    <row r="169" spans="1:8" ht="21" x14ac:dyDescent="0.7">
      <c r="A169" s="2">
        <v>168</v>
      </c>
      <c r="B169" s="8" t="s">
        <v>10</v>
      </c>
      <c r="C169" s="10" t="s">
        <v>767</v>
      </c>
      <c r="D169" s="3"/>
      <c r="E169" s="3">
        <v>12</v>
      </c>
      <c r="F169" s="3">
        <f t="shared" si="26"/>
        <v>714</v>
      </c>
      <c r="G169" s="3" t="s">
        <v>768</v>
      </c>
      <c r="H169" s="5" t="s">
        <v>55</v>
      </c>
    </row>
    <row r="170" spans="1:8" ht="21" x14ac:dyDescent="0.7">
      <c r="A170" s="2">
        <v>169</v>
      </c>
      <c r="B170" s="8" t="s">
        <v>10</v>
      </c>
      <c r="C170" s="10" t="s">
        <v>767</v>
      </c>
      <c r="D170" s="3"/>
      <c r="E170" s="3">
        <v>12</v>
      </c>
      <c r="F170" s="3">
        <f t="shared" si="26"/>
        <v>702</v>
      </c>
      <c r="G170" s="3" t="s">
        <v>769</v>
      </c>
      <c r="H170" s="5" t="s">
        <v>55</v>
      </c>
    </row>
    <row r="171" spans="1:8" ht="21" x14ac:dyDescent="0.7">
      <c r="A171" s="2">
        <v>170</v>
      </c>
      <c r="B171" s="8" t="s">
        <v>10</v>
      </c>
      <c r="C171" s="10" t="s">
        <v>770</v>
      </c>
      <c r="D171" s="3"/>
      <c r="E171" s="3">
        <v>24</v>
      </c>
      <c r="F171" s="3">
        <f>F170-E171</f>
        <v>678</v>
      </c>
      <c r="G171" s="3" t="s">
        <v>771</v>
      </c>
      <c r="H171" s="5" t="s">
        <v>55</v>
      </c>
    </row>
    <row r="172" spans="1:8" ht="21" x14ac:dyDescent="0.7">
      <c r="A172" s="2">
        <v>171</v>
      </c>
      <c r="B172" s="8" t="s">
        <v>10</v>
      </c>
      <c r="C172" s="10" t="s">
        <v>772</v>
      </c>
      <c r="D172" s="3"/>
      <c r="E172" s="3">
        <v>5</v>
      </c>
      <c r="F172" s="3">
        <f>F171-E172</f>
        <v>673</v>
      </c>
      <c r="G172" s="3">
        <v>4561</v>
      </c>
      <c r="H172" s="5" t="s">
        <v>149</v>
      </c>
    </row>
    <row r="173" spans="1:8" ht="21" x14ac:dyDescent="0.7">
      <c r="A173" s="2">
        <v>172</v>
      </c>
      <c r="B173" s="8" t="s">
        <v>10</v>
      </c>
      <c r="C173" s="10" t="s">
        <v>772</v>
      </c>
      <c r="D173" s="3"/>
      <c r="E173" s="3">
        <v>20</v>
      </c>
      <c r="F173" s="3">
        <f>F172-E173</f>
        <v>653</v>
      </c>
      <c r="G173" s="3">
        <v>4564</v>
      </c>
      <c r="H173" s="5" t="s">
        <v>704</v>
      </c>
    </row>
    <row r="174" spans="1:8" ht="21" x14ac:dyDescent="0.7">
      <c r="A174" s="2">
        <v>173</v>
      </c>
      <c r="B174" s="8" t="s">
        <v>10</v>
      </c>
      <c r="C174" s="10" t="s">
        <v>776</v>
      </c>
      <c r="D174" s="3"/>
      <c r="E174" s="3">
        <v>12</v>
      </c>
      <c r="F174" s="3">
        <f>F173-E174</f>
        <v>641</v>
      </c>
      <c r="G174" s="3" t="s">
        <v>777</v>
      </c>
      <c r="H174" s="5" t="s">
        <v>55</v>
      </c>
    </row>
    <row r="175" spans="1:8" ht="21" x14ac:dyDescent="0.7">
      <c r="A175" s="2">
        <v>174</v>
      </c>
      <c r="B175" s="8" t="s">
        <v>10</v>
      </c>
      <c r="C175" s="10" t="s">
        <v>778</v>
      </c>
      <c r="D175" s="3"/>
      <c r="E175" s="3">
        <v>2</v>
      </c>
      <c r="F175" s="3">
        <f>F174-E175</f>
        <v>639</v>
      </c>
      <c r="G175" s="3">
        <v>4580</v>
      </c>
      <c r="H175" s="5" t="s">
        <v>115</v>
      </c>
    </row>
    <row r="176" spans="1:8" ht="21" x14ac:dyDescent="0.7">
      <c r="A176" s="2">
        <v>175</v>
      </c>
      <c r="B176" s="8" t="s">
        <v>10</v>
      </c>
      <c r="C176" s="10" t="s">
        <v>784</v>
      </c>
      <c r="D176" s="16">
        <v>240</v>
      </c>
      <c r="E176" s="3"/>
      <c r="F176" s="3">
        <f>F175+D176</f>
        <v>879</v>
      </c>
      <c r="G176" s="3"/>
      <c r="H176" s="19" t="s">
        <v>785</v>
      </c>
    </row>
    <row r="177" spans="1:8" ht="21" x14ac:dyDescent="0.7">
      <c r="A177" s="2">
        <v>176</v>
      </c>
      <c r="B177" s="8" t="s">
        <v>10</v>
      </c>
      <c r="C177" s="10" t="s">
        <v>788</v>
      </c>
      <c r="D177" s="3"/>
      <c r="E177" s="3">
        <v>12</v>
      </c>
      <c r="F177" s="3">
        <f t="shared" ref="F177:F182" si="27">F176-E177</f>
        <v>867</v>
      </c>
      <c r="G177" s="3" t="s">
        <v>787</v>
      </c>
      <c r="H177" s="5" t="s">
        <v>55</v>
      </c>
    </row>
    <row r="178" spans="1:8" ht="21" x14ac:dyDescent="0.7">
      <c r="A178" s="2">
        <v>177</v>
      </c>
      <c r="B178" s="8" t="s">
        <v>10</v>
      </c>
      <c r="C178" s="10" t="s">
        <v>782</v>
      </c>
      <c r="D178" s="3"/>
      <c r="E178" s="3">
        <v>1</v>
      </c>
      <c r="F178" s="3">
        <f t="shared" si="27"/>
        <v>866</v>
      </c>
      <c r="G178" s="3">
        <v>4587</v>
      </c>
      <c r="H178" s="5" t="s">
        <v>791</v>
      </c>
    </row>
    <row r="179" spans="1:8" ht="21" x14ac:dyDescent="0.7">
      <c r="A179" s="2">
        <v>178</v>
      </c>
      <c r="B179" s="8" t="s">
        <v>10</v>
      </c>
      <c r="C179" s="10" t="s">
        <v>784</v>
      </c>
      <c r="D179" s="3"/>
      <c r="E179" s="3">
        <v>10</v>
      </c>
      <c r="F179" s="3">
        <f t="shared" si="27"/>
        <v>856</v>
      </c>
      <c r="G179" s="3">
        <v>4590</v>
      </c>
      <c r="H179" s="5" t="s">
        <v>639</v>
      </c>
    </row>
    <row r="180" spans="1:8" ht="21" x14ac:dyDescent="0.7">
      <c r="A180" s="2">
        <v>179</v>
      </c>
      <c r="B180" s="8" t="s">
        <v>10</v>
      </c>
      <c r="C180" s="10" t="s">
        <v>799</v>
      </c>
      <c r="D180" s="3"/>
      <c r="E180" s="3">
        <v>2</v>
      </c>
      <c r="F180" s="3">
        <f t="shared" si="27"/>
        <v>854</v>
      </c>
      <c r="G180" s="3">
        <v>4610</v>
      </c>
      <c r="H180" s="5" t="s">
        <v>704</v>
      </c>
    </row>
    <row r="181" spans="1:8" ht="21" x14ac:dyDescent="0.7">
      <c r="A181" s="2">
        <v>180</v>
      </c>
      <c r="B181" s="8" t="s">
        <v>10</v>
      </c>
      <c r="C181" s="10" t="s">
        <v>800</v>
      </c>
      <c r="D181" s="3"/>
      <c r="E181" s="3">
        <v>12</v>
      </c>
      <c r="F181" s="3">
        <f t="shared" si="27"/>
        <v>842</v>
      </c>
      <c r="G181" s="3" t="s">
        <v>801</v>
      </c>
      <c r="H181" s="5" t="s">
        <v>55</v>
      </c>
    </row>
    <row r="182" spans="1:8" ht="21" x14ac:dyDescent="0.7">
      <c r="A182" s="2">
        <v>181</v>
      </c>
      <c r="B182" s="8" t="s">
        <v>10</v>
      </c>
      <c r="C182" s="10" t="s">
        <v>805</v>
      </c>
      <c r="D182" s="3"/>
      <c r="E182" s="3">
        <v>1</v>
      </c>
      <c r="F182" s="3">
        <f t="shared" si="27"/>
        <v>841</v>
      </c>
      <c r="G182" s="3">
        <v>4617</v>
      </c>
      <c r="H182" s="5" t="s">
        <v>811</v>
      </c>
    </row>
    <row r="183" spans="1:8" ht="21" x14ac:dyDescent="0.7">
      <c r="A183" s="2">
        <v>182</v>
      </c>
      <c r="B183" s="8" t="s">
        <v>10</v>
      </c>
      <c r="C183" s="10" t="s">
        <v>807</v>
      </c>
      <c r="D183" s="3"/>
      <c r="E183" s="3">
        <v>1</v>
      </c>
      <c r="F183" s="3">
        <f>F182-E183</f>
        <v>840</v>
      </c>
      <c r="G183" s="3">
        <v>4625</v>
      </c>
      <c r="H183" s="5" t="s">
        <v>813</v>
      </c>
    </row>
    <row r="184" spans="1:8" ht="21" x14ac:dyDescent="0.7">
      <c r="A184" s="2">
        <v>183</v>
      </c>
      <c r="B184" s="8" t="s">
        <v>10</v>
      </c>
      <c r="C184" s="10" t="s">
        <v>814</v>
      </c>
      <c r="D184" s="3"/>
      <c r="E184" s="3">
        <v>10</v>
      </c>
      <c r="F184" s="3">
        <f>F183-E184</f>
        <v>830</v>
      </c>
      <c r="G184" s="3">
        <v>4626</v>
      </c>
      <c r="H184" s="5" t="s">
        <v>815</v>
      </c>
    </row>
    <row r="185" spans="1:8" ht="21" x14ac:dyDescent="0.7">
      <c r="A185" s="2">
        <v>184</v>
      </c>
      <c r="B185" s="8" t="s">
        <v>10</v>
      </c>
      <c r="C185" s="10" t="s">
        <v>817</v>
      </c>
      <c r="D185" s="3"/>
      <c r="E185" s="3">
        <v>30</v>
      </c>
      <c r="F185" s="3">
        <f>F184-E185</f>
        <v>800</v>
      </c>
      <c r="G185" s="3" t="s">
        <v>818</v>
      </c>
      <c r="H185" s="5" t="s">
        <v>55</v>
      </c>
    </row>
    <row r="186" spans="1:8" ht="21" x14ac:dyDescent="0.7">
      <c r="A186" s="2">
        <v>185</v>
      </c>
      <c r="B186" s="8" t="s">
        <v>10</v>
      </c>
      <c r="C186" s="10" t="s">
        <v>819</v>
      </c>
      <c r="D186" s="3"/>
      <c r="E186" s="3">
        <v>12</v>
      </c>
      <c r="F186" s="3">
        <f>F185-E186</f>
        <v>788</v>
      </c>
      <c r="G186" s="3" t="s">
        <v>821</v>
      </c>
      <c r="H186" s="5" t="s">
        <v>49</v>
      </c>
    </row>
    <row r="187" spans="1:8" ht="21" x14ac:dyDescent="0.7">
      <c r="A187" s="2">
        <v>186</v>
      </c>
      <c r="B187" s="8" t="s">
        <v>10</v>
      </c>
      <c r="C187" s="10" t="s">
        <v>822</v>
      </c>
      <c r="D187" s="3"/>
      <c r="E187" s="3">
        <v>12</v>
      </c>
      <c r="F187" s="3">
        <f>F186-E187</f>
        <v>776</v>
      </c>
      <c r="G187" s="3" t="s">
        <v>823</v>
      </c>
      <c r="H187" s="5" t="s">
        <v>55</v>
      </c>
    </row>
    <row r="188" spans="1:8" ht="21" x14ac:dyDescent="0.7">
      <c r="A188" s="2">
        <v>187</v>
      </c>
      <c r="B188" s="8" t="s">
        <v>10</v>
      </c>
      <c r="C188" s="10"/>
      <c r="D188" s="3">
        <v>0</v>
      </c>
      <c r="E188" s="3"/>
      <c r="F188" s="3">
        <f>F187+D188</f>
        <v>776</v>
      </c>
      <c r="G188" s="3"/>
      <c r="H188" s="5" t="s">
        <v>827</v>
      </c>
    </row>
    <row r="189" spans="1:8" ht="21" x14ac:dyDescent="0.7">
      <c r="A189" s="2">
        <v>188</v>
      </c>
      <c r="B189" s="8" t="s">
        <v>10</v>
      </c>
      <c r="C189" s="10" t="s">
        <v>829</v>
      </c>
      <c r="D189" s="3"/>
      <c r="E189" s="3">
        <v>1</v>
      </c>
      <c r="F189" s="3">
        <f t="shared" ref="F189:F194" si="28">F188-E189</f>
        <v>775</v>
      </c>
      <c r="G189" s="3">
        <v>4633</v>
      </c>
      <c r="H189" s="5" t="s">
        <v>830</v>
      </c>
    </row>
    <row r="190" spans="1:8" ht="21" x14ac:dyDescent="0.7">
      <c r="A190" s="2">
        <v>189</v>
      </c>
      <c r="B190" s="8" t="s">
        <v>10</v>
      </c>
      <c r="C190" s="10" t="s">
        <v>829</v>
      </c>
      <c r="D190" s="3"/>
      <c r="E190" s="3">
        <v>1</v>
      </c>
      <c r="F190" s="3">
        <f t="shared" si="28"/>
        <v>774</v>
      </c>
      <c r="G190" s="3">
        <v>4634</v>
      </c>
      <c r="H190" s="5" t="s">
        <v>831</v>
      </c>
    </row>
    <row r="191" spans="1:8" ht="21" x14ac:dyDescent="0.7">
      <c r="A191" s="2">
        <v>190</v>
      </c>
      <c r="B191" s="8" t="s">
        <v>10</v>
      </c>
      <c r="C191" s="10" t="s">
        <v>839</v>
      </c>
      <c r="D191" s="3"/>
      <c r="E191" s="3">
        <v>1</v>
      </c>
      <c r="F191" s="3">
        <f t="shared" si="28"/>
        <v>773</v>
      </c>
      <c r="G191" s="3">
        <v>4639</v>
      </c>
      <c r="H191" s="5" t="s">
        <v>842</v>
      </c>
    </row>
    <row r="192" spans="1:8" ht="21" x14ac:dyDescent="0.7">
      <c r="A192" s="2">
        <v>191</v>
      </c>
      <c r="B192" s="8" t="s">
        <v>10</v>
      </c>
      <c r="C192" s="10" t="s">
        <v>847</v>
      </c>
      <c r="D192" s="3"/>
      <c r="E192" s="3">
        <v>3</v>
      </c>
      <c r="F192" s="3">
        <f t="shared" si="28"/>
        <v>770</v>
      </c>
      <c r="G192" s="3">
        <v>4649</v>
      </c>
      <c r="H192" s="5" t="s">
        <v>379</v>
      </c>
    </row>
    <row r="193" spans="1:9" ht="21" x14ac:dyDescent="0.7">
      <c r="A193" s="2">
        <v>192</v>
      </c>
      <c r="B193" s="8" t="s">
        <v>10</v>
      </c>
      <c r="C193" s="10" t="s">
        <v>848</v>
      </c>
      <c r="D193" s="3"/>
      <c r="E193" s="3">
        <v>10</v>
      </c>
      <c r="F193" s="3">
        <f t="shared" si="28"/>
        <v>760</v>
      </c>
      <c r="G193" s="3">
        <v>4645</v>
      </c>
      <c r="H193" s="5" t="s">
        <v>850</v>
      </c>
    </row>
    <row r="194" spans="1:9" ht="21" x14ac:dyDescent="0.7">
      <c r="A194" s="2">
        <v>193</v>
      </c>
      <c r="B194" s="8" t="s">
        <v>10</v>
      </c>
      <c r="C194" s="10" t="s">
        <v>851</v>
      </c>
      <c r="D194" s="3"/>
      <c r="E194" s="3">
        <v>12</v>
      </c>
      <c r="F194" s="3">
        <f t="shared" si="28"/>
        <v>748</v>
      </c>
      <c r="G194" s="3" t="s">
        <v>852</v>
      </c>
      <c r="H194" s="5" t="s">
        <v>55</v>
      </c>
    </row>
    <row r="195" spans="1:9" ht="21" x14ac:dyDescent="0.7">
      <c r="A195" s="2">
        <v>194</v>
      </c>
      <c r="B195" s="8" t="s">
        <v>10</v>
      </c>
      <c r="C195" s="10" t="s">
        <v>853</v>
      </c>
      <c r="D195" s="3"/>
      <c r="E195" s="3">
        <v>3</v>
      </c>
      <c r="F195" s="3">
        <f t="shared" ref="F195:F200" si="29">F194-E195</f>
        <v>745</v>
      </c>
      <c r="G195" s="3">
        <v>4666</v>
      </c>
      <c r="H195" s="5" t="s">
        <v>704</v>
      </c>
    </row>
    <row r="196" spans="1:9" ht="21" x14ac:dyDescent="0.7">
      <c r="A196" s="2">
        <v>195</v>
      </c>
      <c r="B196" s="8" t="s">
        <v>10</v>
      </c>
      <c r="C196" s="10" t="s">
        <v>854</v>
      </c>
      <c r="D196" s="3"/>
      <c r="E196" s="3">
        <v>1</v>
      </c>
      <c r="F196" s="3">
        <f t="shared" si="29"/>
        <v>744</v>
      </c>
      <c r="G196" s="3">
        <v>4667</v>
      </c>
      <c r="H196" s="5" t="s">
        <v>855</v>
      </c>
    </row>
    <row r="197" spans="1:9" ht="21" x14ac:dyDescent="0.7">
      <c r="A197" s="2">
        <v>196</v>
      </c>
      <c r="B197" s="8" t="s">
        <v>10</v>
      </c>
      <c r="C197" s="10" t="s">
        <v>856</v>
      </c>
      <c r="D197" s="3"/>
      <c r="E197" s="3">
        <v>3</v>
      </c>
      <c r="F197" s="3">
        <f t="shared" si="29"/>
        <v>741</v>
      </c>
      <c r="G197" s="3">
        <v>4669</v>
      </c>
      <c r="H197" s="5" t="s">
        <v>791</v>
      </c>
    </row>
    <row r="198" spans="1:9" ht="21" x14ac:dyDescent="0.7">
      <c r="A198" s="2">
        <v>197</v>
      </c>
      <c r="B198" s="8" t="s">
        <v>10</v>
      </c>
      <c r="C198" s="10" t="s">
        <v>861</v>
      </c>
      <c r="D198" s="3"/>
      <c r="E198" s="3">
        <v>1</v>
      </c>
      <c r="F198" s="3">
        <f t="shared" si="29"/>
        <v>740</v>
      </c>
      <c r="G198" s="3">
        <v>4680</v>
      </c>
      <c r="H198" s="5" t="s">
        <v>862</v>
      </c>
    </row>
    <row r="199" spans="1:9" ht="21" x14ac:dyDescent="0.7">
      <c r="A199" s="2">
        <v>198</v>
      </c>
      <c r="B199" s="8" t="s">
        <v>10</v>
      </c>
      <c r="C199" s="10" t="s">
        <v>861</v>
      </c>
      <c r="D199" s="3"/>
      <c r="E199" s="3">
        <v>2</v>
      </c>
      <c r="F199" s="3">
        <f t="shared" si="29"/>
        <v>738</v>
      </c>
      <c r="G199" s="3">
        <v>4681</v>
      </c>
      <c r="H199" s="5" t="s">
        <v>863</v>
      </c>
      <c r="I199" s="20" t="s">
        <v>957</v>
      </c>
    </row>
    <row r="200" spans="1:9" ht="21" x14ac:dyDescent="0.7">
      <c r="A200" s="2">
        <v>199</v>
      </c>
      <c r="B200" s="8" t="s">
        <v>10</v>
      </c>
      <c r="C200" s="10" t="s">
        <v>867</v>
      </c>
      <c r="D200" s="3"/>
      <c r="E200" s="3">
        <v>12</v>
      </c>
      <c r="F200" s="3">
        <f t="shared" si="29"/>
        <v>726</v>
      </c>
      <c r="G200" s="3" t="s">
        <v>868</v>
      </c>
      <c r="H200" s="5" t="s">
        <v>55</v>
      </c>
    </row>
    <row r="201" spans="1:9" ht="21" x14ac:dyDescent="0.7">
      <c r="A201" s="2">
        <v>200</v>
      </c>
      <c r="B201" s="8" t="s">
        <v>10</v>
      </c>
      <c r="C201" s="10" t="s">
        <v>874</v>
      </c>
      <c r="D201" s="3"/>
      <c r="E201" s="3">
        <v>12</v>
      </c>
      <c r="F201" s="3">
        <f t="shared" ref="F201:F206" si="30">F200-E201</f>
        <v>714</v>
      </c>
      <c r="G201" s="3" t="s">
        <v>875</v>
      </c>
      <c r="H201" s="5" t="s">
        <v>55</v>
      </c>
    </row>
    <row r="202" spans="1:9" ht="21" x14ac:dyDescent="0.7">
      <c r="A202" s="2">
        <v>201</v>
      </c>
      <c r="B202" s="8" t="s">
        <v>10</v>
      </c>
      <c r="C202" s="10" t="s">
        <v>880</v>
      </c>
      <c r="D202" s="3"/>
      <c r="E202" s="3">
        <v>36</v>
      </c>
      <c r="F202" s="3">
        <f t="shared" si="30"/>
        <v>678</v>
      </c>
      <c r="G202" s="3" t="s">
        <v>883</v>
      </c>
      <c r="H202" s="5" t="s">
        <v>55</v>
      </c>
    </row>
    <row r="203" spans="1:9" ht="21" x14ac:dyDescent="0.7">
      <c r="A203" s="2">
        <v>202</v>
      </c>
      <c r="B203" s="8" t="s">
        <v>10</v>
      </c>
      <c r="C203" s="10" t="s">
        <v>886</v>
      </c>
      <c r="D203" s="3"/>
      <c r="E203" s="3">
        <v>1</v>
      </c>
      <c r="F203" s="3">
        <f t="shared" si="30"/>
        <v>677</v>
      </c>
      <c r="G203" s="3">
        <v>4694</v>
      </c>
      <c r="H203" s="5" t="s">
        <v>466</v>
      </c>
    </row>
    <row r="204" spans="1:9" ht="21" x14ac:dyDescent="0.7">
      <c r="A204" s="2">
        <v>203</v>
      </c>
      <c r="B204" s="8" t="s">
        <v>10</v>
      </c>
      <c r="C204" s="10" t="s">
        <v>884</v>
      </c>
      <c r="D204" s="3"/>
      <c r="E204" s="3">
        <v>12</v>
      </c>
      <c r="F204" s="3">
        <f t="shared" si="30"/>
        <v>665</v>
      </c>
      <c r="G204" s="3" t="s">
        <v>891</v>
      </c>
      <c r="H204" s="5" t="s">
        <v>55</v>
      </c>
    </row>
    <row r="205" spans="1:9" ht="21" x14ac:dyDescent="0.7">
      <c r="A205" s="2">
        <v>204</v>
      </c>
      <c r="B205" s="8" t="s">
        <v>10</v>
      </c>
      <c r="C205" s="10" t="s">
        <v>898</v>
      </c>
      <c r="D205" s="3"/>
      <c r="E205" s="3">
        <v>1</v>
      </c>
      <c r="F205" s="3">
        <f t="shared" si="30"/>
        <v>664</v>
      </c>
      <c r="G205" s="3">
        <v>4725</v>
      </c>
      <c r="H205" s="5" t="s">
        <v>545</v>
      </c>
    </row>
    <row r="206" spans="1:9" ht="21" x14ac:dyDescent="0.7">
      <c r="A206" s="2">
        <v>205</v>
      </c>
      <c r="B206" s="8" t="s">
        <v>10</v>
      </c>
      <c r="C206" s="10" t="s">
        <v>898</v>
      </c>
      <c r="D206" s="3"/>
      <c r="E206" s="3">
        <v>5</v>
      </c>
      <c r="F206" s="3">
        <f t="shared" si="30"/>
        <v>659</v>
      </c>
      <c r="G206" s="3">
        <v>4723</v>
      </c>
      <c r="H206" s="5" t="s">
        <v>545</v>
      </c>
    </row>
    <row r="207" spans="1:9" ht="21" x14ac:dyDescent="0.7">
      <c r="A207" s="2">
        <v>206</v>
      </c>
      <c r="B207" s="8" t="s">
        <v>10</v>
      </c>
      <c r="C207" s="10" t="s">
        <v>899</v>
      </c>
      <c r="D207" s="3"/>
      <c r="E207" s="3">
        <v>1</v>
      </c>
      <c r="F207" s="3">
        <f t="shared" ref="F207:F212" si="31">F206-E207</f>
        <v>658</v>
      </c>
      <c r="G207" s="3">
        <v>4728</v>
      </c>
      <c r="H207" s="5" t="s">
        <v>900</v>
      </c>
    </row>
    <row r="208" spans="1:9" ht="21" x14ac:dyDescent="0.7">
      <c r="A208" s="2">
        <v>207</v>
      </c>
      <c r="B208" s="8" t="s">
        <v>10</v>
      </c>
      <c r="C208" s="10" t="s">
        <v>901</v>
      </c>
      <c r="D208" s="3"/>
      <c r="E208" s="3">
        <v>12</v>
      </c>
      <c r="F208" s="3">
        <f t="shared" si="31"/>
        <v>646</v>
      </c>
      <c r="G208" s="3" t="s">
        <v>902</v>
      </c>
      <c r="H208" s="5" t="s">
        <v>55</v>
      </c>
    </row>
    <row r="209" spans="1:8" ht="21" x14ac:dyDescent="0.7">
      <c r="A209" s="2">
        <v>208</v>
      </c>
      <c r="B209" s="8" t="s">
        <v>10</v>
      </c>
      <c r="C209" s="10" t="s">
        <v>905</v>
      </c>
      <c r="D209" s="3"/>
      <c r="E209" s="3">
        <v>1</v>
      </c>
      <c r="F209" s="3">
        <f t="shared" si="31"/>
        <v>645</v>
      </c>
      <c r="G209" s="3">
        <v>4729</v>
      </c>
      <c r="H209" s="5" t="s">
        <v>907</v>
      </c>
    </row>
    <row r="210" spans="1:8" ht="21" x14ac:dyDescent="0.7">
      <c r="A210" s="2">
        <v>209</v>
      </c>
      <c r="B210" s="8" t="s">
        <v>10</v>
      </c>
      <c r="C210" s="10" t="s">
        <v>911</v>
      </c>
      <c r="D210" s="3"/>
      <c r="E210" s="3">
        <v>1</v>
      </c>
      <c r="F210" s="3">
        <f t="shared" si="31"/>
        <v>644</v>
      </c>
      <c r="G210" s="3">
        <v>4734</v>
      </c>
      <c r="H210" s="5" t="s">
        <v>614</v>
      </c>
    </row>
    <row r="211" spans="1:8" ht="21" x14ac:dyDescent="0.7">
      <c r="A211" s="2">
        <v>210</v>
      </c>
      <c r="B211" s="8" t="s">
        <v>10</v>
      </c>
      <c r="C211" s="10" t="s">
        <v>917</v>
      </c>
      <c r="D211" s="3"/>
      <c r="E211" s="3">
        <v>2</v>
      </c>
      <c r="F211" s="3">
        <f t="shared" si="31"/>
        <v>642</v>
      </c>
      <c r="G211" s="3">
        <v>4739</v>
      </c>
      <c r="H211" s="5" t="s">
        <v>132</v>
      </c>
    </row>
    <row r="212" spans="1:8" ht="21" x14ac:dyDescent="0.7">
      <c r="A212" s="2">
        <v>211</v>
      </c>
      <c r="B212" s="8" t="s">
        <v>10</v>
      </c>
      <c r="C212" s="10" t="s">
        <v>920</v>
      </c>
      <c r="D212" s="3"/>
      <c r="E212" s="3">
        <v>12</v>
      </c>
      <c r="F212" s="3">
        <f t="shared" si="31"/>
        <v>630</v>
      </c>
      <c r="G212" s="3" t="s">
        <v>921</v>
      </c>
      <c r="H212" s="5" t="s">
        <v>55</v>
      </c>
    </row>
    <row r="213" spans="1:8" ht="21" x14ac:dyDescent="0.7">
      <c r="A213" s="2">
        <v>212</v>
      </c>
      <c r="B213" s="8" t="s">
        <v>10</v>
      </c>
      <c r="C213" s="10" t="s">
        <v>920</v>
      </c>
      <c r="D213" s="3"/>
      <c r="E213" s="3">
        <v>4</v>
      </c>
      <c r="F213" s="3">
        <f t="shared" ref="F213:F218" si="32">F212-E213</f>
        <v>626</v>
      </c>
      <c r="G213" s="3" t="s">
        <v>922</v>
      </c>
      <c r="H213" s="5" t="s">
        <v>49</v>
      </c>
    </row>
    <row r="214" spans="1:8" ht="21" x14ac:dyDescent="0.7">
      <c r="A214" s="2">
        <v>213</v>
      </c>
      <c r="B214" s="8" t="s">
        <v>10</v>
      </c>
      <c r="C214" s="10" t="s">
        <v>924</v>
      </c>
      <c r="D214" s="3"/>
      <c r="E214" s="3">
        <v>1</v>
      </c>
      <c r="F214" s="3">
        <f t="shared" si="32"/>
        <v>625</v>
      </c>
      <c r="G214" s="3" t="s">
        <v>926</v>
      </c>
      <c r="H214" s="5" t="s">
        <v>925</v>
      </c>
    </row>
    <row r="215" spans="1:8" ht="21" x14ac:dyDescent="0.7">
      <c r="A215" s="2">
        <v>214</v>
      </c>
      <c r="B215" s="8" t="s">
        <v>10</v>
      </c>
      <c r="C215" s="10" t="s">
        <v>918</v>
      </c>
      <c r="D215" s="3"/>
      <c r="E215" s="3">
        <v>12</v>
      </c>
      <c r="F215" s="3">
        <f t="shared" si="32"/>
        <v>613</v>
      </c>
      <c r="G215" s="3">
        <v>4745</v>
      </c>
      <c r="H215" s="5" t="s">
        <v>929</v>
      </c>
    </row>
    <row r="216" spans="1:8" ht="21" x14ac:dyDescent="0.7">
      <c r="A216" s="2">
        <v>215</v>
      </c>
      <c r="B216" s="8" t="s">
        <v>10</v>
      </c>
      <c r="C216" s="10" t="s">
        <v>927</v>
      </c>
      <c r="D216" s="3"/>
      <c r="E216" s="3">
        <v>1</v>
      </c>
      <c r="F216" s="3">
        <f t="shared" si="32"/>
        <v>612</v>
      </c>
      <c r="G216" s="3">
        <v>4753</v>
      </c>
      <c r="H216" s="5" t="s">
        <v>934</v>
      </c>
    </row>
    <row r="217" spans="1:8" ht="21" x14ac:dyDescent="0.7">
      <c r="A217" s="2">
        <v>216</v>
      </c>
      <c r="B217" s="8" t="s">
        <v>10</v>
      </c>
      <c r="C217" s="10" t="s">
        <v>935</v>
      </c>
      <c r="D217" s="3"/>
      <c r="E217" s="3">
        <v>12</v>
      </c>
      <c r="F217" s="3">
        <f t="shared" si="32"/>
        <v>600</v>
      </c>
      <c r="G217" s="3" t="s">
        <v>936</v>
      </c>
      <c r="H217" s="5" t="s">
        <v>55</v>
      </c>
    </row>
    <row r="218" spans="1:8" ht="21" x14ac:dyDescent="0.7">
      <c r="A218" s="2">
        <v>217</v>
      </c>
      <c r="B218" s="8" t="s">
        <v>10</v>
      </c>
      <c r="C218" s="10" t="s">
        <v>937</v>
      </c>
      <c r="D218" s="3"/>
      <c r="E218" s="3">
        <v>20</v>
      </c>
      <c r="F218" s="3">
        <f t="shared" si="32"/>
        <v>580</v>
      </c>
      <c r="G218" s="3" t="s">
        <v>938</v>
      </c>
      <c r="H218" s="5" t="s">
        <v>49</v>
      </c>
    </row>
    <row r="219" spans="1:8" ht="21" x14ac:dyDescent="0.7">
      <c r="A219" s="2">
        <v>218</v>
      </c>
      <c r="B219" s="8" t="s">
        <v>10</v>
      </c>
      <c r="C219" s="10" t="s">
        <v>941</v>
      </c>
      <c r="D219" s="3"/>
      <c r="E219" s="3">
        <v>20</v>
      </c>
      <c r="F219" s="3">
        <f t="shared" ref="F219:F224" si="33">F218-E219</f>
        <v>560</v>
      </c>
      <c r="G219" s="3">
        <v>4762</v>
      </c>
      <c r="H219" s="5" t="s">
        <v>71</v>
      </c>
    </row>
    <row r="220" spans="1:8" ht="21" x14ac:dyDescent="0.7">
      <c r="A220" s="2">
        <v>219</v>
      </c>
      <c r="B220" s="8" t="s">
        <v>10</v>
      </c>
      <c r="C220" s="10" t="s">
        <v>947</v>
      </c>
      <c r="D220" s="3"/>
      <c r="E220" s="3">
        <v>12</v>
      </c>
      <c r="F220" s="3">
        <f t="shared" si="33"/>
        <v>548</v>
      </c>
      <c r="G220" s="3" t="s">
        <v>948</v>
      </c>
      <c r="H220" s="5" t="s">
        <v>55</v>
      </c>
    </row>
    <row r="221" spans="1:8" ht="21" x14ac:dyDescent="0.7">
      <c r="A221" s="2">
        <v>220</v>
      </c>
      <c r="B221" s="8" t="s">
        <v>10</v>
      </c>
      <c r="C221" s="10" t="s">
        <v>949</v>
      </c>
      <c r="D221" s="3"/>
      <c r="E221" s="3">
        <v>1</v>
      </c>
      <c r="F221" s="3">
        <f t="shared" si="33"/>
        <v>547</v>
      </c>
      <c r="G221" s="3" t="s">
        <v>950</v>
      </c>
      <c r="H221" s="5" t="s">
        <v>951</v>
      </c>
    </row>
    <row r="222" spans="1:8" ht="21" x14ac:dyDescent="0.7">
      <c r="A222" s="2">
        <v>221</v>
      </c>
      <c r="B222" s="8" t="s">
        <v>10</v>
      </c>
      <c r="C222" s="10" t="s">
        <v>955</v>
      </c>
      <c r="D222" s="3"/>
      <c r="E222" s="3">
        <v>24</v>
      </c>
      <c r="F222" s="3">
        <f t="shared" si="33"/>
        <v>523</v>
      </c>
      <c r="G222" s="3" t="s">
        <v>956</v>
      </c>
      <c r="H222" s="5" t="s">
        <v>55</v>
      </c>
    </row>
    <row r="223" spans="1:8" ht="21" x14ac:dyDescent="0.7">
      <c r="A223" s="2">
        <v>222</v>
      </c>
      <c r="B223" s="8" t="s">
        <v>10</v>
      </c>
      <c r="C223" s="10" t="s">
        <v>963</v>
      </c>
      <c r="D223" s="3"/>
      <c r="E223" s="3">
        <v>12</v>
      </c>
      <c r="F223" s="3">
        <f t="shared" si="33"/>
        <v>511</v>
      </c>
      <c r="G223" s="3" t="s">
        <v>964</v>
      </c>
      <c r="H223" s="5" t="s">
        <v>55</v>
      </c>
    </row>
    <row r="224" spans="1:8" ht="21" x14ac:dyDescent="0.7">
      <c r="A224" s="2">
        <v>223</v>
      </c>
      <c r="B224" s="8" t="s">
        <v>10</v>
      </c>
      <c r="C224" s="10" t="s">
        <v>967</v>
      </c>
      <c r="D224" s="3"/>
      <c r="E224" s="3">
        <v>10</v>
      </c>
      <c r="F224" s="3">
        <f t="shared" si="33"/>
        <v>501</v>
      </c>
      <c r="G224" s="3">
        <v>4809</v>
      </c>
      <c r="H224" s="5" t="s">
        <v>149</v>
      </c>
    </row>
    <row r="225" spans="1:8" ht="21" x14ac:dyDescent="0.7">
      <c r="A225" s="2">
        <v>224</v>
      </c>
      <c r="B225" s="8" t="s">
        <v>10</v>
      </c>
      <c r="C225" s="10" t="s">
        <v>968</v>
      </c>
      <c r="D225" s="3"/>
      <c r="E225" s="3">
        <v>12</v>
      </c>
      <c r="F225" s="3">
        <f t="shared" ref="F225:F232" si="34">F224-E225</f>
        <v>489</v>
      </c>
      <c r="G225" s="3" t="s">
        <v>969</v>
      </c>
      <c r="H225" s="5" t="s">
        <v>55</v>
      </c>
    </row>
    <row r="226" spans="1:8" ht="21" x14ac:dyDescent="0.7">
      <c r="A226" s="2">
        <v>225</v>
      </c>
      <c r="B226" s="8" t="s">
        <v>10</v>
      </c>
      <c r="C226" s="10" t="s">
        <v>968</v>
      </c>
      <c r="D226" s="3"/>
      <c r="E226" s="3">
        <v>12</v>
      </c>
      <c r="F226" s="3">
        <f t="shared" si="34"/>
        <v>477</v>
      </c>
      <c r="G226" s="3" t="s">
        <v>970</v>
      </c>
      <c r="H226" s="5" t="s">
        <v>55</v>
      </c>
    </row>
    <row r="227" spans="1:8" ht="21" x14ac:dyDescent="0.7">
      <c r="A227" s="2">
        <v>226</v>
      </c>
      <c r="B227" s="8" t="s">
        <v>10</v>
      </c>
      <c r="C227" s="10" t="s">
        <v>979</v>
      </c>
      <c r="D227" s="3"/>
      <c r="E227" s="3">
        <v>12</v>
      </c>
      <c r="F227" s="3">
        <f t="shared" si="34"/>
        <v>465</v>
      </c>
      <c r="G227" s="3" t="s">
        <v>980</v>
      </c>
      <c r="H227" s="5" t="s">
        <v>49</v>
      </c>
    </row>
    <row r="228" spans="1:8" ht="21" x14ac:dyDescent="0.7">
      <c r="A228" s="2">
        <v>227</v>
      </c>
      <c r="B228" s="8" t="s">
        <v>10</v>
      </c>
      <c r="C228" s="10" t="s">
        <v>982</v>
      </c>
      <c r="D228" s="3"/>
      <c r="E228" s="3">
        <v>10</v>
      </c>
      <c r="F228" s="3">
        <f t="shared" si="34"/>
        <v>455</v>
      </c>
      <c r="G228" s="3">
        <v>4843</v>
      </c>
      <c r="H228" s="5" t="s">
        <v>639</v>
      </c>
    </row>
    <row r="229" spans="1:8" ht="21" x14ac:dyDescent="0.7">
      <c r="A229" s="2">
        <v>228</v>
      </c>
      <c r="B229" s="8" t="s">
        <v>10</v>
      </c>
      <c r="C229" s="10" t="s">
        <v>984</v>
      </c>
      <c r="D229" s="3"/>
      <c r="E229" s="3">
        <v>36</v>
      </c>
      <c r="F229" s="3">
        <f t="shared" si="34"/>
        <v>419</v>
      </c>
      <c r="G229" s="3" t="s">
        <v>985</v>
      </c>
      <c r="H229" s="5" t="s">
        <v>55</v>
      </c>
    </row>
    <row r="230" spans="1:8" ht="21" x14ac:dyDescent="0.7">
      <c r="A230" s="2">
        <v>229</v>
      </c>
      <c r="B230" s="8" t="s">
        <v>10</v>
      </c>
      <c r="C230" s="10" t="s">
        <v>984</v>
      </c>
      <c r="D230" s="3"/>
      <c r="E230" s="3">
        <v>300</v>
      </c>
      <c r="F230" s="3">
        <f t="shared" si="34"/>
        <v>119</v>
      </c>
      <c r="G230" s="3">
        <v>4851</v>
      </c>
      <c r="H230" s="5" t="s">
        <v>115</v>
      </c>
    </row>
    <row r="231" spans="1:8" ht="21" x14ac:dyDescent="0.7">
      <c r="A231" s="2">
        <v>230</v>
      </c>
      <c r="B231" s="8" t="s">
        <v>10</v>
      </c>
      <c r="C231" s="10" t="s">
        <v>984</v>
      </c>
      <c r="D231" s="3"/>
      <c r="E231" s="3">
        <v>25</v>
      </c>
      <c r="F231" s="3">
        <f t="shared" si="34"/>
        <v>94</v>
      </c>
      <c r="G231" s="3">
        <v>4852</v>
      </c>
      <c r="H231" s="5" t="s">
        <v>115</v>
      </c>
    </row>
    <row r="232" spans="1:8" ht="21" x14ac:dyDescent="0.7">
      <c r="A232" s="2">
        <v>231</v>
      </c>
      <c r="B232" s="8" t="s">
        <v>10</v>
      </c>
      <c r="C232" s="10" t="s">
        <v>984</v>
      </c>
      <c r="D232" s="3"/>
      <c r="E232" s="3">
        <v>25</v>
      </c>
      <c r="F232" s="3">
        <f t="shared" si="34"/>
        <v>69</v>
      </c>
      <c r="G232" s="3">
        <v>4853</v>
      </c>
      <c r="H232" s="5" t="s">
        <v>115</v>
      </c>
    </row>
    <row r="233" spans="1:8" ht="21" x14ac:dyDescent="0.7">
      <c r="A233" s="2">
        <v>232</v>
      </c>
      <c r="B233" s="8" t="s">
        <v>10</v>
      </c>
      <c r="C233" s="10" t="s">
        <v>989</v>
      </c>
      <c r="D233" s="3"/>
      <c r="E233" s="3">
        <v>4</v>
      </c>
      <c r="F233" s="3">
        <f>F232-E233</f>
        <v>65</v>
      </c>
      <c r="G233" s="3">
        <v>4855</v>
      </c>
      <c r="H233" s="5" t="s">
        <v>990</v>
      </c>
    </row>
    <row r="234" spans="1:8" ht="21" x14ac:dyDescent="0.7">
      <c r="A234" s="2">
        <v>233</v>
      </c>
      <c r="B234" s="8" t="s">
        <v>10</v>
      </c>
      <c r="C234" s="10" t="s">
        <v>989</v>
      </c>
      <c r="D234" s="3"/>
      <c r="E234" s="3">
        <v>1</v>
      </c>
      <c r="F234" s="3">
        <f>F233-E234</f>
        <v>64</v>
      </c>
      <c r="G234" s="3">
        <v>4865</v>
      </c>
      <c r="H234" s="5" t="s">
        <v>834</v>
      </c>
    </row>
    <row r="235" spans="1:8" ht="21" x14ac:dyDescent="0.7">
      <c r="A235" s="2">
        <v>234</v>
      </c>
      <c r="B235" s="8" t="s">
        <v>10</v>
      </c>
      <c r="C235" s="10" t="s">
        <v>993</v>
      </c>
      <c r="D235" s="3"/>
      <c r="E235" s="3">
        <v>24</v>
      </c>
      <c r="F235" s="3">
        <f>F234-E235</f>
        <v>40</v>
      </c>
      <c r="G235" s="3" t="s">
        <v>994</v>
      </c>
      <c r="H235" s="5" t="s">
        <v>55</v>
      </c>
    </row>
    <row r="236" spans="1:8" ht="21" x14ac:dyDescent="0.7">
      <c r="A236" s="2">
        <v>235</v>
      </c>
      <c r="B236" s="8" t="s">
        <v>10</v>
      </c>
      <c r="C236" s="10" t="s">
        <v>993</v>
      </c>
      <c r="D236" s="3"/>
      <c r="E236" s="3">
        <v>5</v>
      </c>
      <c r="F236" s="3">
        <f>F235-E236</f>
        <v>35</v>
      </c>
      <c r="G236" s="3">
        <v>4877</v>
      </c>
      <c r="H236" s="5" t="s">
        <v>545</v>
      </c>
    </row>
    <row r="237" spans="1:8" ht="21" x14ac:dyDescent="0.7">
      <c r="A237" s="2">
        <v>236</v>
      </c>
      <c r="B237" s="8" t="s">
        <v>10</v>
      </c>
      <c r="C237" s="10" t="s">
        <v>997</v>
      </c>
      <c r="D237" s="3"/>
      <c r="E237" s="3">
        <v>5</v>
      </c>
      <c r="F237" s="3">
        <f>F236-E237</f>
        <v>30</v>
      </c>
      <c r="G237" s="3">
        <v>4879</v>
      </c>
      <c r="H237" s="5" t="s">
        <v>433</v>
      </c>
    </row>
    <row r="238" spans="1:8" ht="21" x14ac:dyDescent="0.7">
      <c r="A238" s="2">
        <v>237</v>
      </c>
      <c r="B238" s="8" t="s">
        <v>10</v>
      </c>
      <c r="C238" s="10" t="s">
        <v>999</v>
      </c>
      <c r="D238" s="3">
        <v>240</v>
      </c>
      <c r="E238" s="3"/>
      <c r="F238" s="3">
        <f>F237+D238</f>
        <v>270</v>
      </c>
      <c r="G238" s="3"/>
      <c r="H238" s="19" t="s">
        <v>1002</v>
      </c>
    </row>
    <row r="239" spans="1:8" ht="21" x14ac:dyDescent="0.7">
      <c r="A239" s="2">
        <v>238</v>
      </c>
      <c r="B239" s="8" t="s">
        <v>10</v>
      </c>
      <c r="C239" s="10" t="s">
        <v>1010</v>
      </c>
      <c r="D239" s="3"/>
      <c r="E239" s="3">
        <v>12</v>
      </c>
      <c r="F239" s="3">
        <f t="shared" ref="F239:F244" si="35">F238-E239</f>
        <v>258</v>
      </c>
      <c r="G239" s="3" t="s">
        <v>1011</v>
      </c>
      <c r="H239" s="5" t="s">
        <v>55</v>
      </c>
    </row>
    <row r="240" spans="1:8" ht="21" x14ac:dyDescent="0.7">
      <c r="A240" s="2">
        <v>239</v>
      </c>
      <c r="B240" s="8" t="s">
        <v>10</v>
      </c>
      <c r="C240" s="10" t="s">
        <v>1015</v>
      </c>
      <c r="D240" s="3"/>
      <c r="E240" s="3">
        <v>1</v>
      </c>
      <c r="F240" s="3">
        <f t="shared" si="35"/>
        <v>257</v>
      </c>
      <c r="G240" s="3">
        <v>4889</v>
      </c>
      <c r="H240" s="5" t="s">
        <v>1016</v>
      </c>
    </row>
    <row r="241" spans="1:9" ht="21" x14ac:dyDescent="0.7">
      <c r="A241" s="2">
        <v>240</v>
      </c>
      <c r="B241" s="8" t="s">
        <v>10</v>
      </c>
      <c r="C241" s="10" t="s">
        <v>1017</v>
      </c>
      <c r="D241" s="3"/>
      <c r="E241" s="3">
        <v>1</v>
      </c>
      <c r="F241" s="3">
        <f t="shared" si="35"/>
        <v>256</v>
      </c>
      <c r="G241" s="3" t="s">
        <v>774</v>
      </c>
      <c r="H241" s="5" t="s">
        <v>1018</v>
      </c>
      <c r="I241" t="s">
        <v>1019</v>
      </c>
    </row>
    <row r="242" spans="1:9" ht="21" x14ac:dyDescent="0.7">
      <c r="A242" s="2">
        <v>241</v>
      </c>
      <c r="B242" s="8" t="s">
        <v>10</v>
      </c>
      <c r="C242" s="10" t="s">
        <v>1015</v>
      </c>
      <c r="D242" s="3"/>
      <c r="E242" s="3">
        <v>1</v>
      </c>
      <c r="F242" s="3">
        <f t="shared" si="35"/>
        <v>255</v>
      </c>
      <c r="G242" s="3">
        <v>4888</v>
      </c>
      <c r="H242" s="5" t="s">
        <v>1022</v>
      </c>
    </row>
    <row r="243" spans="1:9" ht="21" x14ac:dyDescent="0.7">
      <c r="A243" s="2">
        <v>242</v>
      </c>
      <c r="B243" s="8" t="s">
        <v>10</v>
      </c>
      <c r="C243" s="10" t="s">
        <v>1020</v>
      </c>
      <c r="D243" s="3"/>
      <c r="E243" s="3">
        <v>1</v>
      </c>
      <c r="F243" s="3">
        <f t="shared" si="35"/>
        <v>254</v>
      </c>
      <c r="G243" s="3">
        <v>4903</v>
      </c>
      <c r="H243" s="5" t="s">
        <v>1021</v>
      </c>
    </row>
    <row r="244" spans="1:9" ht="21" x14ac:dyDescent="0.7">
      <c r="A244" s="2">
        <v>243</v>
      </c>
      <c r="B244" s="8" t="s">
        <v>10</v>
      </c>
      <c r="C244" s="10" t="s">
        <v>1024</v>
      </c>
      <c r="D244" s="3"/>
      <c r="E244" s="3">
        <v>24</v>
      </c>
      <c r="F244" s="3">
        <f t="shared" si="35"/>
        <v>230</v>
      </c>
      <c r="G244" s="3" t="s">
        <v>1025</v>
      </c>
      <c r="H244" s="5" t="s">
        <v>55</v>
      </c>
    </row>
    <row r="245" spans="1:9" ht="21" x14ac:dyDescent="0.7">
      <c r="A245" s="2">
        <v>244</v>
      </c>
      <c r="B245" s="8" t="s">
        <v>10</v>
      </c>
      <c r="C245" s="10" t="s">
        <v>1030</v>
      </c>
      <c r="D245" s="3"/>
      <c r="E245" s="3">
        <v>5</v>
      </c>
      <c r="F245" s="3">
        <f t="shared" ref="F245:F250" si="36">F244-E245</f>
        <v>225</v>
      </c>
      <c r="G245" s="3">
        <v>4905</v>
      </c>
      <c r="H245" s="5" t="s">
        <v>545</v>
      </c>
    </row>
    <row r="246" spans="1:9" ht="21" x14ac:dyDescent="0.7">
      <c r="A246" s="2">
        <v>245</v>
      </c>
      <c r="B246" s="8" t="s">
        <v>10</v>
      </c>
      <c r="C246" s="10" t="s">
        <v>1031</v>
      </c>
      <c r="D246" s="3"/>
      <c r="E246" s="3">
        <v>20</v>
      </c>
      <c r="F246" s="3">
        <f t="shared" si="36"/>
        <v>205</v>
      </c>
      <c r="G246" s="3">
        <v>4916</v>
      </c>
      <c r="H246" s="5" t="s">
        <v>704</v>
      </c>
    </row>
    <row r="247" spans="1:9" ht="21" x14ac:dyDescent="0.7">
      <c r="A247" s="2">
        <v>246</v>
      </c>
      <c r="B247" s="8" t="s">
        <v>10</v>
      </c>
      <c r="C247" s="10" t="s">
        <v>1032</v>
      </c>
      <c r="D247" s="3"/>
      <c r="E247" s="3">
        <v>8</v>
      </c>
      <c r="F247" s="3">
        <f t="shared" si="36"/>
        <v>197</v>
      </c>
      <c r="G247" s="3">
        <v>4917</v>
      </c>
      <c r="H247" s="5" t="s">
        <v>929</v>
      </c>
    </row>
    <row r="248" spans="1:9" ht="21" x14ac:dyDescent="0.7">
      <c r="A248" s="2">
        <v>247</v>
      </c>
      <c r="B248" s="8" t="s">
        <v>10</v>
      </c>
      <c r="C248" s="10" t="s">
        <v>1033</v>
      </c>
      <c r="D248" s="3"/>
      <c r="E248" s="3">
        <v>12</v>
      </c>
      <c r="F248" s="3">
        <f t="shared" si="36"/>
        <v>185</v>
      </c>
      <c r="G248" s="3" t="s">
        <v>1034</v>
      </c>
      <c r="H248" s="5" t="s">
        <v>55</v>
      </c>
    </row>
    <row r="249" spans="1:9" ht="21" x14ac:dyDescent="0.7">
      <c r="A249" s="2">
        <v>248</v>
      </c>
      <c r="B249" s="8" t="s">
        <v>10</v>
      </c>
      <c r="C249" s="10" t="s">
        <v>1043</v>
      </c>
      <c r="D249" s="3"/>
      <c r="E249" s="3">
        <v>10</v>
      </c>
      <c r="F249" s="3">
        <f t="shared" si="36"/>
        <v>175</v>
      </c>
      <c r="G249" s="3" t="s">
        <v>1044</v>
      </c>
      <c r="H249" s="5" t="s">
        <v>49</v>
      </c>
    </row>
    <row r="250" spans="1:9" ht="21" x14ac:dyDescent="0.7">
      <c r="A250" s="2">
        <v>249</v>
      </c>
      <c r="B250" s="8" t="s">
        <v>10</v>
      </c>
      <c r="C250" s="10" t="s">
        <v>1045</v>
      </c>
      <c r="D250" s="3"/>
      <c r="E250" s="3">
        <v>12</v>
      </c>
      <c r="F250" s="3">
        <f t="shared" si="36"/>
        <v>163</v>
      </c>
      <c r="G250" s="3" t="s">
        <v>1046</v>
      </c>
      <c r="H250" s="5" t="s">
        <v>55</v>
      </c>
    </row>
    <row r="251" spans="1:9" ht="21" x14ac:dyDescent="0.7">
      <c r="A251" s="2">
        <v>250</v>
      </c>
      <c r="B251" s="8" t="s">
        <v>10</v>
      </c>
      <c r="C251" s="10" t="s">
        <v>1047</v>
      </c>
      <c r="D251" s="3"/>
      <c r="E251" s="3">
        <v>1</v>
      </c>
      <c r="F251" s="3">
        <f t="shared" ref="F251:F256" si="37">F250-E251</f>
        <v>162</v>
      </c>
      <c r="G251" s="3">
        <v>4937</v>
      </c>
      <c r="H251" s="5" t="s">
        <v>1049</v>
      </c>
    </row>
    <row r="252" spans="1:9" ht="21" x14ac:dyDescent="0.7">
      <c r="A252" s="2">
        <v>251</v>
      </c>
      <c r="B252" s="8" t="s">
        <v>10</v>
      </c>
      <c r="C252" s="10" t="s">
        <v>1047</v>
      </c>
      <c r="D252" s="3"/>
      <c r="E252" s="3">
        <v>3</v>
      </c>
      <c r="F252" s="3">
        <f t="shared" si="37"/>
        <v>159</v>
      </c>
      <c r="G252" s="3">
        <v>4938</v>
      </c>
      <c r="H252" s="5" t="s">
        <v>1050</v>
      </c>
    </row>
    <row r="253" spans="1:9" ht="21" x14ac:dyDescent="0.7">
      <c r="A253" s="2">
        <v>252</v>
      </c>
      <c r="B253" s="8" t="s">
        <v>10</v>
      </c>
      <c r="C253" s="10" t="s">
        <v>1047</v>
      </c>
      <c r="D253" s="3"/>
      <c r="E253" s="3">
        <v>2</v>
      </c>
      <c r="F253" s="3">
        <f t="shared" si="37"/>
        <v>157</v>
      </c>
      <c r="G253" s="3">
        <v>4941</v>
      </c>
      <c r="H253" s="5" t="s">
        <v>1051</v>
      </c>
    </row>
    <row r="254" spans="1:9" ht="21" x14ac:dyDescent="0.7">
      <c r="A254" s="2">
        <v>253</v>
      </c>
      <c r="B254" s="8" t="s">
        <v>10</v>
      </c>
      <c r="C254" s="10" t="s">
        <v>1055</v>
      </c>
      <c r="D254" s="3"/>
      <c r="E254" s="3">
        <v>12</v>
      </c>
      <c r="F254" s="3">
        <f t="shared" si="37"/>
        <v>145</v>
      </c>
      <c r="G254" s="3" t="s">
        <v>1056</v>
      </c>
      <c r="H254" s="5" t="s">
        <v>55</v>
      </c>
    </row>
    <row r="255" spans="1:9" ht="21" x14ac:dyDescent="0.7">
      <c r="A255" s="2">
        <v>254</v>
      </c>
      <c r="B255" s="8" t="s">
        <v>10</v>
      </c>
      <c r="C255" s="10" t="s">
        <v>1058</v>
      </c>
      <c r="D255" s="3"/>
      <c r="E255" s="3">
        <v>1</v>
      </c>
      <c r="F255" s="3">
        <f t="shared" si="37"/>
        <v>144</v>
      </c>
      <c r="G255" s="3">
        <v>4945</v>
      </c>
      <c r="H255" s="5" t="s">
        <v>1059</v>
      </c>
      <c r="I255">
        <v>145</v>
      </c>
    </row>
    <row r="256" spans="1:9" ht="21" x14ac:dyDescent="0.7">
      <c r="A256" s="2">
        <v>255</v>
      </c>
      <c r="B256" s="8" t="s">
        <v>10</v>
      </c>
      <c r="C256" s="10" t="s">
        <v>1061</v>
      </c>
      <c r="D256" s="3"/>
      <c r="E256" s="3">
        <v>1</v>
      </c>
      <c r="F256" s="3">
        <f t="shared" si="37"/>
        <v>143</v>
      </c>
      <c r="G256" s="3">
        <v>4949</v>
      </c>
      <c r="H256" s="5" t="s">
        <v>830</v>
      </c>
    </row>
    <row r="257" spans="1:8" ht="21" x14ac:dyDescent="0.7">
      <c r="A257" s="2">
        <v>256</v>
      </c>
      <c r="B257" s="8" t="s">
        <v>10</v>
      </c>
      <c r="C257" s="10" t="s">
        <v>1066</v>
      </c>
      <c r="D257" s="3"/>
      <c r="E257" s="3">
        <v>12</v>
      </c>
      <c r="F257" s="3">
        <f t="shared" ref="F257:F262" si="38">F256-E257</f>
        <v>131</v>
      </c>
      <c r="G257" s="3" t="s">
        <v>1067</v>
      </c>
      <c r="H257" s="5" t="s">
        <v>55</v>
      </c>
    </row>
    <row r="258" spans="1:8" ht="21" x14ac:dyDescent="0.7">
      <c r="A258" s="2">
        <v>257</v>
      </c>
      <c r="B258" s="8" t="s">
        <v>10</v>
      </c>
      <c r="C258" s="10" t="s">
        <v>1074</v>
      </c>
      <c r="D258" s="3"/>
      <c r="E258" s="3">
        <v>1</v>
      </c>
      <c r="F258" s="3">
        <f t="shared" si="38"/>
        <v>130</v>
      </c>
      <c r="G258" s="3">
        <v>4977</v>
      </c>
      <c r="H258" s="5" t="s">
        <v>1075</v>
      </c>
    </row>
    <row r="259" spans="1:8" ht="21" x14ac:dyDescent="0.7">
      <c r="A259" s="2">
        <v>258</v>
      </c>
      <c r="B259" s="8" t="s">
        <v>10</v>
      </c>
      <c r="C259" s="10" t="s">
        <v>1076</v>
      </c>
      <c r="D259" s="3"/>
      <c r="E259" s="3">
        <v>11</v>
      </c>
      <c r="F259" s="3">
        <f t="shared" si="38"/>
        <v>119</v>
      </c>
      <c r="G259" s="3" t="s">
        <v>1077</v>
      </c>
      <c r="H259" s="5" t="s">
        <v>49</v>
      </c>
    </row>
    <row r="260" spans="1:8" ht="21" x14ac:dyDescent="0.7">
      <c r="A260" s="2">
        <v>259</v>
      </c>
      <c r="B260" s="8" t="s">
        <v>10</v>
      </c>
      <c r="C260" s="10" t="s">
        <v>1076</v>
      </c>
      <c r="D260" s="3"/>
      <c r="E260" s="3">
        <v>2</v>
      </c>
      <c r="F260" s="3">
        <f t="shared" si="38"/>
        <v>117</v>
      </c>
      <c r="G260" s="3">
        <v>4982</v>
      </c>
      <c r="H260" s="5" t="s">
        <v>465</v>
      </c>
    </row>
    <row r="261" spans="1:8" ht="21" x14ac:dyDescent="0.7">
      <c r="A261" s="2">
        <v>260</v>
      </c>
      <c r="B261" s="8" t="s">
        <v>10</v>
      </c>
      <c r="C261" s="10" t="s">
        <v>1080</v>
      </c>
      <c r="D261" s="3"/>
      <c r="E261" s="3">
        <v>70</v>
      </c>
      <c r="F261" s="3">
        <f t="shared" si="38"/>
        <v>47</v>
      </c>
      <c r="G261" s="3" t="s">
        <v>1081</v>
      </c>
      <c r="H261" s="5" t="s">
        <v>55</v>
      </c>
    </row>
    <row r="262" spans="1:8" ht="21" x14ac:dyDescent="0.7">
      <c r="A262" s="2">
        <v>261</v>
      </c>
      <c r="B262" s="8" t="s">
        <v>10</v>
      </c>
      <c r="C262" s="10" t="s">
        <v>1082</v>
      </c>
      <c r="D262" s="3"/>
      <c r="E262" s="3">
        <v>1</v>
      </c>
      <c r="F262" s="3">
        <f t="shared" si="38"/>
        <v>46</v>
      </c>
      <c r="G262" s="3">
        <v>4997</v>
      </c>
      <c r="H262" s="5" t="s">
        <v>1083</v>
      </c>
    </row>
    <row r="263" spans="1:8" ht="21" x14ac:dyDescent="0.7">
      <c r="A263" s="2">
        <v>262</v>
      </c>
      <c r="B263" s="8" t="s">
        <v>10</v>
      </c>
      <c r="C263" s="10" t="s">
        <v>1082</v>
      </c>
      <c r="D263" s="3"/>
      <c r="E263" s="3">
        <v>7</v>
      </c>
      <c r="F263" s="3">
        <f t="shared" ref="F263:F267" si="39">F262-E263</f>
        <v>39</v>
      </c>
      <c r="G263" s="3">
        <v>4999</v>
      </c>
      <c r="H263" s="5" t="s">
        <v>907</v>
      </c>
    </row>
    <row r="264" spans="1:8" ht="21" x14ac:dyDescent="0.7">
      <c r="A264" s="2">
        <v>263</v>
      </c>
      <c r="B264" s="8" t="s">
        <v>10</v>
      </c>
      <c r="C264" s="10" t="s">
        <v>1084</v>
      </c>
      <c r="D264" s="3"/>
      <c r="E264" s="3">
        <v>10</v>
      </c>
      <c r="F264" s="3">
        <f t="shared" si="39"/>
        <v>29</v>
      </c>
      <c r="G264" s="3" t="s">
        <v>1085</v>
      </c>
      <c r="H264" s="5" t="s">
        <v>55</v>
      </c>
    </row>
    <row r="265" spans="1:8" ht="21" x14ac:dyDescent="0.7">
      <c r="A265" s="2">
        <v>264</v>
      </c>
      <c r="B265" s="8" t="s">
        <v>10</v>
      </c>
      <c r="C265" s="10" t="s">
        <v>1086</v>
      </c>
      <c r="D265" s="3"/>
      <c r="E265" s="3">
        <v>25</v>
      </c>
      <c r="F265" s="3">
        <f t="shared" si="39"/>
        <v>4</v>
      </c>
      <c r="G265" s="3">
        <v>5020</v>
      </c>
      <c r="H265" s="5" t="s">
        <v>1087</v>
      </c>
    </row>
    <row r="266" spans="1:8" ht="21" x14ac:dyDescent="0.7">
      <c r="A266" s="2">
        <v>265</v>
      </c>
      <c r="B266" s="8" t="s">
        <v>10</v>
      </c>
      <c r="C266" s="10" t="s">
        <v>1091</v>
      </c>
      <c r="D266" s="3"/>
      <c r="E266" s="3">
        <v>4</v>
      </c>
      <c r="F266" s="3">
        <f t="shared" si="39"/>
        <v>0</v>
      </c>
      <c r="G266" s="3" t="s">
        <v>1092</v>
      </c>
      <c r="H266" s="5" t="s">
        <v>55</v>
      </c>
    </row>
    <row r="267" spans="1:8" ht="21" x14ac:dyDescent="0.7">
      <c r="A267" s="2">
        <v>266</v>
      </c>
      <c r="B267" s="8" t="s">
        <v>10</v>
      </c>
      <c r="C267" s="10" t="s">
        <v>1093</v>
      </c>
      <c r="D267" s="3"/>
      <c r="E267" s="3">
        <v>1</v>
      </c>
      <c r="F267" s="3">
        <f t="shared" si="39"/>
        <v>-1</v>
      </c>
      <c r="G267" s="3">
        <v>5026</v>
      </c>
      <c r="H267" s="5" t="s">
        <v>1097</v>
      </c>
    </row>
    <row r="268" spans="1:8" ht="21" x14ac:dyDescent="0.7">
      <c r="A268" s="2">
        <v>267</v>
      </c>
      <c r="B268" s="8" t="s">
        <v>10</v>
      </c>
      <c r="C268" s="10" t="s">
        <v>1154</v>
      </c>
      <c r="D268" s="3"/>
      <c r="E268" s="3">
        <v>1</v>
      </c>
      <c r="F268" s="3">
        <f>F267-E268</f>
        <v>-2</v>
      </c>
      <c r="G268" s="3" t="s">
        <v>1156</v>
      </c>
      <c r="H268" s="5" t="s">
        <v>55</v>
      </c>
    </row>
    <row r="269" spans="1:8" ht="21" x14ac:dyDescent="0.7">
      <c r="A269" s="2">
        <v>268</v>
      </c>
      <c r="B269" s="8" t="s">
        <v>10</v>
      </c>
      <c r="C269" s="10" t="s">
        <v>1158</v>
      </c>
      <c r="D269" s="3">
        <v>720</v>
      </c>
      <c r="E269" s="3"/>
      <c r="F269" s="3">
        <v>720</v>
      </c>
      <c r="G269" s="3"/>
      <c r="H269" s="19" t="s">
        <v>1159</v>
      </c>
    </row>
    <row r="270" spans="1:8" ht="21" x14ac:dyDescent="0.7">
      <c r="A270" s="2">
        <v>269</v>
      </c>
      <c r="B270" s="8" t="s">
        <v>10</v>
      </c>
      <c r="C270" s="10" t="s">
        <v>1162</v>
      </c>
      <c r="D270" s="3"/>
      <c r="E270" s="3">
        <v>5</v>
      </c>
      <c r="F270" s="3">
        <f t="shared" ref="F270:F275" si="40">F269-E270</f>
        <v>715</v>
      </c>
      <c r="G270" s="3" t="s">
        <v>1163</v>
      </c>
      <c r="H270" s="5" t="s">
        <v>55</v>
      </c>
    </row>
    <row r="271" spans="1:8" ht="21" x14ac:dyDescent="0.7">
      <c r="A271" s="2">
        <v>270</v>
      </c>
      <c r="B271" s="8" t="s">
        <v>10</v>
      </c>
      <c r="C271" s="10" t="s">
        <v>1164</v>
      </c>
      <c r="D271" s="3"/>
      <c r="E271" s="3">
        <v>12</v>
      </c>
      <c r="F271" s="3">
        <f t="shared" si="40"/>
        <v>703</v>
      </c>
      <c r="G271" s="3" t="s">
        <v>1165</v>
      </c>
      <c r="H271" s="5" t="s">
        <v>55</v>
      </c>
    </row>
    <row r="272" spans="1:8" ht="21" x14ac:dyDescent="0.7">
      <c r="A272" s="2">
        <v>271</v>
      </c>
      <c r="B272" s="8" t="s">
        <v>10</v>
      </c>
      <c r="C272" s="10" t="s">
        <v>1168</v>
      </c>
      <c r="D272" s="3"/>
      <c r="E272" s="3">
        <v>1</v>
      </c>
      <c r="F272" s="3">
        <f t="shared" si="40"/>
        <v>702</v>
      </c>
      <c r="G272" s="3">
        <v>5126</v>
      </c>
      <c r="H272" s="5" t="s">
        <v>545</v>
      </c>
    </row>
    <row r="273" spans="1:8" ht="21" x14ac:dyDescent="0.7">
      <c r="A273" s="2">
        <v>272</v>
      </c>
      <c r="B273" s="8" t="s">
        <v>10</v>
      </c>
      <c r="C273" s="10" t="s">
        <v>1168</v>
      </c>
      <c r="D273" s="3"/>
      <c r="E273" s="3">
        <v>5</v>
      </c>
      <c r="F273" s="3">
        <f t="shared" si="40"/>
        <v>697</v>
      </c>
      <c r="G273" s="3">
        <v>5127</v>
      </c>
      <c r="H273" s="5" t="s">
        <v>545</v>
      </c>
    </row>
    <row r="274" spans="1:8" ht="21" x14ac:dyDescent="0.7">
      <c r="A274" s="2">
        <v>273</v>
      </c>
      <c r="B274" s="8" t="s">
        <v>10</v>
      </c>
      <c r="C274" s="10" t="s">
        <v>1169</v>
      </c>
      <c r="D274" s="3"/>
      <c r="E274" s="3">
        <v>60</v>
      </c>
      <c r="F274" s="3">
        <f t="shared" si="40"/>
        <v>637</v>
      </c>
      <c r="G274" s="3" t="s">
        <v>1170</v>
      </c>
      <c r="H274" s="5" t="s">
        <v>49</v>
      </c>
    </row>
    <row r="275" spans="1:8" ht="21" x14ac:dyDescent="0.7">
      <c r="A275" s="2">
        <v>274</v>
      </c>
      <c r="B275" s="8" t="s">
        <v>10</v>
      </c>
      <c r="C275" s="10" t="s">
        <v>1172</v>
      </c>
      <c r="D275" s="3"/>
      <c r="E275" s="3">
        <v>12</v>
      </c>
      <c r="F275" s="3">
        <f t="shared" si="40"/>
        <v>625</v>
      </c>
      <c r="G275" s="3" t="s">
        <v>1173</v>
      </c>
      <c r="H275" s="5" t="s">
        <v>55</v>
      </c>
    </row>
    <row r="276" spans="1:8" ht="21" x14ac:dyDescent="0.7">
      <c r="A276" s="2">
        <v>275</v>
      </c>
      <c r="B276" s="8" t="s">
        <v>10</v>
      </c>
      <c r="C276" s="10" t="s">
        <v>1175</v>
      </c>
      <c r="D276" s="3"/>
      <c r="E276" s="3">
        <v>12</v>
      </c>
      <c r="F276" s="3">
        <f t="shared" ref="F276:F281" si="41">F275-E276</f>
        <v>613</v>
      </c>
      <c r="G276" s="3" t="s">
        <v>1174</v>
      </c>
      <c r="H276" s="5" t="s">
        <v>55</v>
      </c>
    </row>
    <row r="277" spans="1:8" ht="21" x14ac:dyDescent="0.7">
      <c r="A277" s="2">
        <v>276</v>
      </c>
      <c r="B277" s="8" t="s">
        <v>10</v>
      </c>
      <c r="C277" s="10" t="s">
        <v>1176</v>
      </c>
      <c r="D277" s="3"/>
      <c r="E277" s="3">
        <v>8</v>
      </c>
      <c r="F277" s="3">
        <f t="shared" si="41"/>
        <v>605</v>
      </c>
      <c r="G277" s="3">
        <v>5138</v>
      </c>
      <c r="H277" s="5" t="s">
        <v>1110</v>
      </c>
    </row>
    <row r="278" spans="1:8" ht="21" x14ac:dyDescent="0.7">
      <c r="A278" s="2">
        <v>277</v>
      </c>
      <c r="B278" s="8" t="s">
        <v>10</v>
      </c>
      <c r="C278" s="10" t="s">
        <v>1177</v>
      </c>
      <c r="D278" s="3"/>
      <c r="E278" s="3">
        <v>30</v>
      </c>
      <c r="F278" s="3">
        <f t="shared" si="41"/>
        <v>575</v>
      </c>
      <c r="G278" s="3" t="s">
        <v>1178</v>
      </c>
      <c r="H278" s="5" t="s">
        <v>55</v>
      </c>
    </row>
    <row r="279" spans="1:8" ht="21" x14ac:dyDescent="0.7">
      <c r="A279" s="2">
        <v>278</v>
      </c>
      <c r="B279" s="8" t="s">
        <v>10</v>
      </c>
      <c r="C279" s="10" t="s">
        <v>1179</v>
      </c>
      <c r="D279" s="3"/>
      <c r="E279" s="3">
        <v>12</v>
      </c>
      <c r="F279" s="3">
        <f t="shared" si="41"/>
        <v>563</v>
      </c>
      <c r="G279" s="3" t="s">
        <v>1180</v>
      </c>
      <c r="H279" s="5" t="s">
        <v>55</v>
      </c>
    </row>
    <row r="280" spans="1:8" ht="21" x14ac:dyDescent="0.7">
      <c r="A280" s="2">
        <v>279</v>
      </c>
      <c r="B280" s="8" t="s">
        <v>10</v>
      </c>
      <c r="C280" s="10" t="s">
        <v>1181</v>
      </c>
      <c r="D280" s="3"/>
      <c r="E280" s="3">
        <v>1</v>
      </c>
      <c r="F280" s="3">
        <f t="shared" si="41"/>
        <v>562</v>
      </c>
      <c r="G280" s="3">
        <v>5143</v>
      </c>
      <c r="H280" s="5" t="s">
        <v>66</v>
      </c>
    </row>
    <row r="281" spans="1:8" ht="21" x14ac:dyDescent="0.7">
      <c r="A281" s="2">
        <v>280</v>
      </c>
      <c r="B281" s="8" t="s">
        <v>10</v>
      </c>
      <c r="C281" s="10" t="s">
        <v>1184</v>
      </c>
      <c r="D281" s="3"/>
      <c r="E281" s="3">
        <v>50</v>
      </c>
      <c r="F281" s="3">
        <f t="shared" si="41"/>
        <v>512</v>
      </c>
      <c r="G281" s="3">
        <v>5145</v>
      </c>
      <c r="H281" s="5" t="s">
        <v>71</v>
      </c>
    </row>
    <row r="282" spans="1:8" ht="21" x14ac:dyDescent="0.7">
      <c r="A282" s="2">
        <v>281</v>
      </c>
      <c r="B282" s="8" t="s">
        <v>10</v>
      </c>
      <c r="C282" s="10" t="s">
        <v>1185</v>
      </c>
      <c r="D282" s="3"/>
      <c r="E282" s="3">
        <v>12</v>
      </c>
      <c r="F282" s="3">
        <f t="shared" ref="F282:F287" si="42">F281-E282</f>
        <v>500</v>
      </c>
      <c r="G282" s="3" t="s">
        <v>1186</v>
      </c>
      <c r="H282" s="5" t="s">
        <v>55</v>
      </c>
    </row>
    <row r="283" spans="1:8" ht="21" x14ac:dyDescent="0.7">
      <c r="A283" s="2">
        <v>282</v>
      </c>
      <c r="B283" s="8" t="s">
        <v>10</v>
      </c>
      <c r="C283" s="10" t="s">
        <v>1190</v>
      </c>
      <c r="D283" s="3"/>
      <c r="E283" s="3">
        <v>30</v>
      </c>
      <c r="F283" s="3">
        <f t="shared" si="42"/>
        <v>470</v>
      </c>
      <c r="G283" s="3">
        <v>5155</v>
      </c>
      <c r="H283" s="5" t="s">
        <v>132</v>
      </c>
    </row>
    <row r="284" spans="1:8" ht="21" x14ac:dyDescent="0.7">
      <c r="A284" s="2">
        <v>283</v>
      </c>
      <c r="B284" s="8" t="s">
        <v>10</v>
      </c>
      <c r="C284" s="10" t="s">
        <v>1191</v>
      </c>
      <c r="D284" s="3"/>
      <c r="E284" s="3">
        <v>3</v>
      </c>
      <c r="F284" s="3">
        <f t="shared" si="42"/>
        <v>467</v>
      </c>
      <c r="G284" s="3" t="s">
        <v>1192</v>
      </c>
      <c r="H284" s="5" t="s">
        <v>55</v>
      </c>
    </row>
    <row r="285" spans="1:8" ht="21" x14ac:dyDescent="0.7">
      <c r="A285" s="2">
        <v>284</v>
      </c>
      <c r="B285" s="8" t="s">
        <v>10</v>
      </c>
      <c r="C285" s="10" t="s">
        <v>1196</v>
      </c>
      <c r="D285" s="3"/>
      <c r="E285" s="3">
        <v>5</v>
      </c>
      <c r="F285" s="3">
        <f t="shared" si="42"/>
        <v>462</v>
      </c>
      <c r="G285" s="3" t="s">
        <v>1197</v>
      </c>
      <c r="H285" s="5" t="s">
        <v>55</v>
      </c>
    </row>
    <row r="286" spans="1:8" ht="21" x14ac:dyDescent="0.7">
      <c r="A286" s="2">
        <v>285</v>
      </c>
      <c r="B286" s="8" t="s">
        <v>10</v>
      </c>
      <c r="C286" s="10" t="s">
        <v>1198</v>
      </c>
      <c r="D286" s="3"/>
      <c r="E286" s="3">
        <v>70</v>
      </c>
      <c r="F286" s="3">
        <f t="shared" si="42"/>
        <v>392</v>
      </c>
      <c r="G286" s="3">
        <v>5173</v>
      </c>
      <c r="H286" s="5" t="s">
        <v>43</v>
      </c>
    </row>
    <row r="287" spans="1:8" ht="21" x14ac:dyDescent="0.7">
      <c r="A287" s="2">
        <v>286</v>
      </c>
      <c r="B287" s="8" t="s">
        <v>10</v>
      </c>
      <c r="C287" s="10" t="s">
        <v>1198</v>
      </c>
      <c r="D287" s="3"/>
      <c r="E287" s="3">
        <v>15</v>
      </c>
      <c r="F287" s="3">
        <f t="shared" si="42"/>
        <v>377</v>
      </c>
      <c r="G287" s="3">
        <v>5170</v>
      </c>
      <c r="H287" s="5" t="s">
        <v>639</v>
      </c>
    </row>
    <row r="288" spans="1:8" ht="21" x14ac:dyDescent="0.7">
      <c r="A288" s="2">
        <v>287</v>
      </c>
      <c r="B288" s="8" t="s">
        <v>10</v>
      </c>
      <c r="C288" s="10" t="s">
        <v>1200</v>
      </c>
      <c r="D288" s="3"/>
      <c r="E288" s="3">
        <v>5</v>
      </c>
      <c r="F288" s="3">
        <f t="shared" ref="F288:F293" si="43">F287-E288</f>
        <v>372</v>
      </c>
      <c r="G288" s="3" t="s">
        <v>1201</v>
      </c>
      <c r="H288" s="5" t="s">
        <v>55</v>
      </c>
    </row>
    <row r="289" spans="1:8" ht="21" x14ac:dyDescent="0.7">
      <c r="A289" s="2">
        <v>288</v>
      </c>
      <c r="B289" s="8" t="s">
        <v>10</v>
      </c>
      <c r="C289" s="10" t="s">
        <v>1202</v>
      </c>
      <c r="D289" s="3"/>
      <c r="E289" s="3">
        <v>15</v>
      </c>
      <c r="F289" s="3">
        <f t="shared" si="43"/>
        <v>357</v>
      </c>
      <c r="G289" s="3" t="s">
        <v>1203</v>
      </c>
      <c r="H289" s="5" t="s">
        <v>55</v>
      </c>
    </row>
    <row r="290" spans="1:8" ht="21" x14ac:dyDescent="0.7">
      <c r="A290" s="2">
        <v>289</v>
      </c>
      <c r="B290" s="8" t="s">
        <v>10</v>
      </c>
      <c r="C290" s="10" t="s">
        <v>1204</v>
      </c>
      <c r="D290" s="3"/>
      <c r="E290" s="3">
        <v>5</v>
      </c>
      <c r="F290" s="3">
        <f t="shared" si="43"/>
        <v>352</v>
      </c>
      <c r="G290" s="3">
        <v>5177</v>
      </c>
      <c r="H290" s="5" t="s">
        <v>1205</v>
      </c>
    </row>
    <row r="291" spans="1:8" ht="21" x14ac:dyDescent="0.7">
      <c r="A291" s="2">
        <v>290</v>
      </c>
      <c r="B291" s="8" t="s">
        <v>10</v>
      </c>
      <c r="C291" s="10" t="s">
        <v>1202</v>
      </c>
      <c r="D291" s="3"/>
      <c r="E291" s="3">
        <v>10</v>
      </c>
      <c r="F291" s="3">
        <f t="shared" si="43"/>
        <v>342</v>
      </c>
      <c r="G291" s="3" t="s">
        <v>1206</v>
      </c>
      <c r="H291" s="5" t="s">
        <v>49</v>
      </c>
    </row>
    <row r="292" spans="1:8" ht="21" x14ac:dyDescent="0.7">
      <c r="A292" s="2">
        <v>291</v>
      </c>
      <c r="B292" s="8" t="s">
        <v>10</v>
      </c>
      <c r="C292" s="10" t="s">
        <v>1209</v>
      </c>
      <c r="D292" s="3"/>
      <c r="E292" s="3">
        <v>1</v>
      </c>
      <c r="F292" s="3">
        <f t="shared" si="43"/>
        <v>341</v>
      </c>
      <c r="G292" s="3">
        <v>5183</v>
      </c>
      <c r="H292" s="5" t="s">
        <v>1210</v>
      </c>
    </row>
    <row r="293" spans="1:8" ht="21" x14ac:dyDescent="0.7">
      <c r="A293" s="2">
        <v>292</v>
      </c>
      <c r="B293" s="8" t="s">
        <v>10</v>
      </c>
      <c r="C293" s="10" t="s">
        <v>1214</v>
      </c>
      <c r="D293" s="3"/>
      <c r="E293" s="3">
        <v>10</v>
      </c>
      <c r="F293" s="3">
        <f t="shared" si="43"/>
        <v>331</v>
      </c>
      <c r="G293" s="3">
        <v>5186</v>
      </c>
      <c r="H293" s="5" t="s">
        <v>132</v>
      </c>
    </row>
    <row r="294" spans="1:8" ht="21" x14ac:dyDescent="0.7">
      <c r="A294" s="2">
        <v>293</v>
      </c>
      <c r="B294" s="8" t="s">
        <v>10</v>
      </c>
      <c r="C294" s="10" t="s">
        <v>1215</v>
      </c>
      <c r="D294" s="3"/>
      <c r="E294" s="3">
        <v>4</v>
      </c>
      <c r="F294" s="3">
        <f t="shared" ref="F294:F299" si="44">F293-E294</f>
        <v>327</v>
      </c>
      <c r="G294" s="3" t="s">
        <v>1216</v>
      </c>
      <c r="H294" s="5" t="s">
        <v>55</v>
      </c>
    </row>
    <row r="295" spans="1:8" ht="21" x14ac:dyDescent="0.7">
      <c r="A295" s="2">
        <v>294</v>
      </c>
      <c r="B295" s="8" t="s">
        <v>10</v>
      </c>
      <c r="C295" s="10" t="s">
        <v>1217</v>
      </c>
      <c r="D295" s="3"/>
      <c r="E295" s="3">
        <v>5</v>
      </c>
      <c r="F295" s="3">
        <f t="shared" si="44"/>
        <v>322</v>
      </c>
      <c r="G295" s="3">
        <v>5189</v>
      </c>
      <c r="H295" s="5" t="s">
        <v>930</v>
      </c>
    </row>
    <row r="296" spans="1:8" ht="21" x14ac:dyDescent="0.7">
      <c r="A296" s="2">
        <v>295</v>
      </c>
      <c r="B296" s="8" t="s">
        <v>10</v>
      </c>
      <c r="C296" s="10" t="s">
        <v>1218</v>
      </c>
      <c r="D296" s="3"/>
      <c r="E296" s="3">
        <v>2</v>
      </c>
      <c r="F296" s="3">
        <f t="shared" si="44"/>
        <v>320</v>
      </c>
      <c r="G296" s="3">
        <v>5191</v>
      </c>
      <c r="H296" s="5" t="s">
        <v>834</v>
      </c>
    </row>
    <row r="297" spans="1:8" ht="21" x14ac:dyDescent="0.7">
      <c r="A297" s="2">
        <v>296</v>
      </c>
      <c r="B297" s="8" t="s">
        <v>10</v>
      </c>
      <c r="C297" s="10" t="s">
        <v>1219</v>
      </c>
      <c r="D297" s="3"/>
      <c r="E297" s="3">
        <v>1</v>
      </c>
      <c r="F297" s="3">
        <f t="shared" si="44"/>
        <v>319</v>
      </c>
      <c r="G297" s="3">
        <v>5195</v>
      </c>
      <c r="H297" s="5" t="s">
        <v>1220</v>
      </c>
    </row>
    <row r="298" spans="1:8" ht="21" x14ac:dyDescent="0.7">
      <c r="A298" s="2">
        <v>297</v>
      </c>
      <c r="B298" s="8" t="s">
        <v>10</v>
      </c>
      <c r="C298" s="10" t="s">
        <v>1223</v>
      </c>
      <c r="D298" s="3"/>
      <c r="E298" s="3">
        <v>3</v>
      </c>
      <c r="F298" s="3">
        <f t="shared" si="44"/>
        <v>316</v>
      </c>
      <c r="G298" s="3" t="s">
        <v>1224</v>
      </c>
      <c r="H298" s="5" t="s">
        <v>55</v>
      </c>
    </row>
    <row r="299" spans="1:8" ht="21" x14ac:dyDescent="0.7">
      <c r="A299" s="2">
        <v>298</v>
      </c>
      <c r="B299" s="8" t="s">
        <v>10</v>
      </c>
      <c r="C299" s="10" t="s">
        <v>1228</v>
      </c>
      <c r="D299" s="3"/>
      <c r="E299" s="3">
        <v>3</v>
      </c>
      <c r="F299" s="3">
        <f t="shared" si="44"/>
        <v>313</v>
      </c>
      <c r="G299" s="3" t="s">
        <v>1229</v>
      </c>
      <c r="H299" s="5" t="s">
        <v>55</v>
      </c>
    </row>
    <row r="300" spans="1:8" ht="21" x14ac:dyDescent="0.7">
      <c r="A300" s="2">
        <v>299</v>
      </c>
      <c r="B300" s="8" t="s">
        <v>10</v>
      </c>
      <c r="C300" s="10" t="s">
        <v>1230</v>
      </c>
      <c r="D300" s="3"/>
      <c r="E300" s="3">
        <v>2</v>
      </c>
      <c r="F300" s="3">
        <f t="shared" ref="F300:F305" si="45">F299-E300</f>
        <v>311</v>
      </c>
      <c r="G300" s="3" t="s">
        <v>1231</v>
      </c>
      <c r="H300" s="5" t="s">
        <v>55</v>
      </c>
    </row>
    <row r="301" spans="1:8" ht="21" x14ac:dyDescent="0.7">
      <c r="A301" s="2">
        <v>300</v>
      </c>
      <c r="B301" s="8" t="s">
        <v>10</v>
      </c>
      <c r="C301" s="10" t="s">
        <v>1230</v>
      </c>
      <c r="D301" s="3"/>
      <c r="E301" s="3">
        <v>1</v>
      </c>
      <c r="F301" s="3">
        <f t="shared" si="45"/>
        <v>310</v>
      </c>
      <c r="G301" s="3">
        <v>5214</v>
      </c>
      <c r="H301" s="5" t="s">
        <v>1232</v>
      </c>
    </row>
    <row r="302" spans="1:8" ht="21" x14ac:dyDescent="0.7">
      <c r="A302" s="2">
        <v>301</v>
      </c>
      <c r="B302" s="8" t="s">
        <v>10</v>
      </c>
      <c r="C302" s="10" t="s">
        <v>1233</v>
      </c>
      <c r="D302" s="3"/>
      <c r="E302" s="3">
        <v>1</v>
      </c>
      <c r="F302" s="3">
        <f t="shared" si="45"/>
        <v>309</v>
      </c>
      <c r="G302" s="3" t="s">
        <v>1234</v>
      </c>
      <c r="H302" s="5" t="s">
        <v>55</v>
      </c>
    </row>
    <row r="303" spans="1:8" ht="21" x14ac:dyDescent="0.7">
      <c r="A303" s="2">
        <v>302</v>
      </c>
      <c r="B303" s="8" t="s">
        <v>10</v>
      </c>
      <c r="C303" s="10" t="s">
        <v>1235</v>
      </c>
      <c r="D303" s="3"/>
      <c r="E303" s="3">
        <v>4</v>
      </c>
      <c r="F303" s="3">
        <f t="shared" si="45"/>
        <v>305</v>
      </c>
      <c r="G303" s="3" t="s">
        <v>1236</v>
      </c>
      <c r="H303" s="5" t="s">
        <v>55</v>
      </c>
    </row>
    <row r="304" spans="1:8" ht="21" x14ac:dyDescent="0.7">
      <c r="A304" s="2">
        <v>303</v>
      </c>
      <c r="B304" s="8" t="s">
        <v>10</v>
      </c>
      <c r="C304" s="10" t="s">
        <v>1237</v>
      </c>
      <c r="D304" s="3"/>
      <c r="E304" s="3">
        <v>8</v>
      </c>
      <c r="F304" s="3">
        <f t="shared" si="45"/>
        <v>297</v>
      </c>
      <c r="G304" s="3" t="s">
        <v>1238</v>
      </c>
      <c r="H304" s="5" t="s">
        <v>55</v>
      </c>
    </row>
    <row r="305" spans="1:8" ht="21" x14ac:dyDescent="0.7">
      <c r="A305" s="2">
        <v>304</v>
      </c>
      <c r="B305" s="8" t="s">
        <v>10</v>
      </c>
      <c r="C305" s="10" t="s">
        <v>1239</v>
      </c>
      <c r="D305" s="3"/>
      <c r="E305" s="3">
        <v>10</v>
      </c>
      <c r="F305" s="3">
        <f t="shared" si="45"/>
        <v>287</v>
      </c>
      <c r="G305" s="3" t="s">
        <v>1240</v>
      </c>
      <c r="H305" s="5" t="s">
        <v>49</v>
      </c>
    </row>
    <row r="306" spans="1:8" ht="21" x14ac:dyDescent="0.7">
      <c r="A306" s="2">
        <v>305</v>
      </c>
      <c r="B306" s="8" t="s">
        <v>10</v>
      </c>
      <c r="C306" s="10" t="s">
        <v>1241</v>
      </c>
      <c r="D306" s="3"/>
      <c r="E306" s="3">
        <v>6</v>
      </c>
      <c r="F306" s="3">
        <f t="shared" ref="F306:F311" si="46">F305-E306</f>
        <v>281</v>
      </c>
      <c r="G306" s="3" t="s">
        <v>1242</v>
      </c>
      <c r="H306" s="5" t="s">
        <v>55</v>
      </c>
    </row>
    <row r="307" spans="1:8" ht="21" x14ac:dyDescent="0.7">
      <c r="A307" s="2">
        <v>306</v>
      </c>
      <c r="B307" s="8" t="s">
        <v>10</v>
      </c>
      <c r="C307" s="10" t="s">
        <v>1243</v>
      </c>
      <c r="D307" s="3"/>
      <c r="E307" s="3">
        <v>3</v>
      </c>
      <c r="F307" s="3">
        <f t="shared" si="46"/>
        <v>278</v>
      </c>
      <c r="G307" s="3">
        <v>5238</v>
      </c>
      <c r="H307" s="5" t="s">
        <v>149</v>
      </c>
    </row>
    <row r="308" spans="1:8" ht="21" x14ac:dyDescent="0.7">
      <c r="A308" s="2">
        <v>307</v>
      </c>
      <c r="B308" s="8" t="s">
        <v>10</v>
      </c>
      <c r="C308" s="10" t="s">
        <v>1244</v>
      </c>
      <c r="D308" s="3"/>
      <c r="E308" s="3">
        <v>5</v>
      </c>
      <c r="F308" s="3">
        <f t="shared" si="46"/>
        <v>273</v>
      </c>
      <c r="G308" s="3" t="s">
        <v>1245</v>
      </c>
      <c r="H308" s="5" t="s">
        <v>55</v>
      </c>
    </row>
    <row r="309" spans="1:8" ht="21" x14ac:dyDescent="0.7">
      <c r="A309" s="2">
        <v>308</v>
      </c>
      <c r="B309" s="8" t="s">
        <v>10</v>
      </c>
      <c r="C309" s="10" t="s">
        <v>1246</v>
      </c>
      <c r="D309" s="3"/>
      <c r="E309" s="3">
        <v>100</v>
      </c>
      <c r="F309" s="3">
        <f t="shared" si="46"/>
        <v>173</v>
      </c>
      <c r="G309" s="3">
        <v>5241</v>
      </c>
      <c r="H309" s="5" t="s">
        <v>1247</v>
      </c>
    </row>
    <row r="310" spans="1:8" ht="21" x14ac:dyDescent="0.7">
      <c r="A310" s="2">
        <v>309</v>
      </c>
      <c r="B310" s="8" t="s">
        <v>10</v>
      </c>
      <c r="C310" s="10" t="s">
        <v>1248</v>
      </c>
      <c r="D310" s="3"/>
      <c r="E310" s="3">
        <v>3</v>
      </c>
      <c r="F310" s="3">
        <f t="shared" si="46"/>
        <v>170</v>
      </c>
      <c r="G310" s="3" t="s">
        <v>1249</v>
      </c>
      <c r="H310" s="5" t="s">
        <v>55</v>
      </c>
    </row>
    <row r="311" spans="1:8" ht="21" x14ac:dyDescent="0.7">
      <c r="A311" s="2">
        <v>310</v>
      </c>
      <c r="B311" s="8" t="s">
        <v>10</v>
      </c>
      <c r="C311" s="10" t="s">
        <v>1248</v>
      </c>
      <c r="D311" s="3"/>
      <c r="E311" s="3">
        <v>1</v>
      </c>
      <c r="F311" s="3">
        <f t="shared" si="46"/>
        <v>169</v>
      </c>
      <c r="G311" s="3">
        <v>5245</v>
      </c>
      <c r="H311" s="5" t="s">
        <v>1251</v>
      </c>
    </row>
    <row r="312" spans="1:8" ht="21" x14ac:dyDescent="0.7">
      <c r="A312" s="2">
        <v>311</v>
      </c>
      <c r="B312" s="8" t="s">
        <v>10</v>
      </c>
      <c r="C312" s="10" t="s">
        <v>1252</v>
      </c>
      <c r="D312" s="3"/>
      <c r="E312" s="3">
        <v>1</v>
      </c>
      <c r="F312" s="3">
        <f t="shared" ref="F312:F317" si="47">F311-E312</f>
        <v>168</v>
      </c>
      <c r="G312" s="3" t="s">
        <v>1254</v>
      </c>
      <c r="H312" s="5" t="s">
        <v>49</v>
      </c>
    </row>
    <row r="313" spans="1:8" ht="21" x14ac:dyDescent="0.7">
      <c r="A313" s="2">
        <v>312</v>
      </c>
      <c r="B313" s="8" t="s">
        <v>10</v>
      </c>
      <c r="C313" s="10" t="s">
        <v>1257</v>
      </c>
      <c r="D313" s="3"/>
      <c r="E313" s="3">
        <v>2</v>
      </c>
      <c r="F313" s="3">
        <f t="shared" si="47"/>
        <v>166</v>
      </c>
      <c r="G313" s="3" t="s">
        <v>1258</v>
      </c>
      <c r="H313" s="5" t="s">
        <v>55</v>
      </c>
    </row>
    <row r="314" spans="1:8" ht="21" x14ac:dyDescent="0.7">
      <c r="A314" s="2">
        <v>313</v>
      </c>
      <c r="B314" s="8" t="s">
        <v>10</v>
      </c>
      <c r="C314" s="10" t="s">
        <v>1261</v>
      </c>
      <c r="D314" s="3"/>
      <c r="E314" s="3">
        <v>1</v>
      </c>
      <c r="F314" s="3">
        <f t="shared" si="47"/>
        <v>165</v>
      </c>
      <c r="G314" s="3">
        <v>5247</v>
      </c>
      <c r="H314" s="5" t="s">
        <v>842</v>
      </c>
    </row>
    <row r="315" spans="1:8" ht="21" x14ac:dyDescent="0.7">
      <c r="A315" s="2">
        <v>314</v>
      </c>
      <c r="B315" s="8" t="s">
        <v>10</v>
      </c>
      <c r="C315" s="10" t="s">
        <v>1262</v>
      </c>
      <c r="D315" s="3"/>
      <c r="E315" s="3">
        <v>10</v>
      </c>
      <c r="F315" s="3">
        <f t="shared" si="47"/>
        <v>155</v>
      </c>
      <c r="G315" s="3">
        <v>5253</v>
      </c>
      <c r="H315" s="5" t="s">
        <v>132</v>
      </c>
    </row>
    <row r="316" spans="1:8" ht="21" x14ac:dyDescent="0.7">
      <c r="A316" s="2">
        <v>315</v>
      </c>
      <c r="B316" s="8" t="s">
        <v>10</v>
      </c>
      <c r="C316" s="10" t="s">
        <v>1262</v>
      </c>
      <c r="D316" s="3"/>
      <c r="E316" s="3">
        <v>5</v>
      </c>
      <c r="F316" s="3">
        <f t="shared" si="47"/>
        <v>150</v>
      </c>
      <c r="G316" s="3" t="s">
        <v>1263</v>
      </c>
      <c r="H316" s="5" t="s">
        <v>55</v>
      </c>
    </row>
    <row r="317" spans="1:8" ht="21" x14ac:dyDescent="0.7">
      <c r="A317" s="2">
        <v>316</v>
      </c>
      <c r="B317" s="8" t="s">
        <v>10</v>
      </c>
      <c r="C317" s="10" t="s">
        <v>1264</v>
      </c>
      <c r="D317" s="3"/>
      <c r="E317" s="3">
        <v>4</v>
      </c>
      <c r="F317" s="3">
        <f t="shared" si="47"/>
        <v>146</v>
      </c>
      <c r="G317" s="3" t="s">
        <v>1265</v>
      </c>
      <c r="H317" s="5" t="s">
        <v>55</v>
      </c>
    </row>
    <row r="318" spans="1:8" ht="21" x14ac:dyDescent="0.7">
      <c r="A318" s="2">
        <v>317</v>
      </c>
      <c r="B318" s="8" t="s">
        <v>10</v>
      </c>
      <c r="C318" s="10" t="s">
        <v>1269</v>
      </c>
      <c r="D318" s="3"/>
      <c r="E318" s="3">
        <v>8</v>
      </c>
      <c r="F318" s="3">
        <f t="shared" ref="F318:F323" si="48">F317-E318</f>
        <v>138</v>
      </c>
      <c r="G318" s="3">
        <v>5258</v>
      </c>
      <c r="H318" s="5" t="s">
        <v>1270</v>
      </c>
    </row>
    <row r="319" spans="1:8" ht="21" x14ac:dyDescent="0.7">
      <c r="A319" s="2">
        <v>318</v>
      </c>
      <c r="B319" s="8" t="s">
        <v>10</v>
      </c>
      <c r="C319" s="10" t="s">
        <v>1271</v>
      </c>
      <c r="D319" s="3"/>
      <c r="E319" s="3">
        <v>1</v>
      </c>
      <c r="F319" s="3">
        <f t="shared" si="48"/>
        <v>137</v>
      </c>
      <c r="G319" s="3">
        <v>5275</v>
      </c>
      <c r="H319" s="5" t="s">
        <v>1272</v>
      </c>
    </row>
    <row r="320" spans="1:8" ht="21" x14ac:dyDescent="0.7">
      <c r="A320" s="2">
        <v>319</v>
      </c>
      <c r="B320" s="8" t="s">
        <v>10</v>
      </c>
      <c r="C320" s="10" t="s">
        <v>1273</v>
      </c>
      <c r="D320" s="3"/>
      <c r="E320" s="3">
        <v>3</v>
      </c>
      <c r="F320" s="3">
        <f t="shared" si="48"/>
        <v>134</v>
      </c>
      <c r="G320" s="3" t="s">
        <v>1274</v>
      </c>
      <c r="H320" s="5" t="s">
        <v>55</v>
      </c>
    </row>
    <row r="321" spans="1:8" ht="21" x14ac:dyDescent="0.7">
      <c r="A321" s="2">
        <v>320</v>
      </c>
      <c r="B321" s="8" t="s">
        <v>10</v>
      </c>
      <c r="C321" s="10" t="s">
        <v>1275</v>
      </c>
      <c r="D321" s="3"/>
      <c r="E321" s="3">
        <v>2</v>
      </c>
      <c r="F321" s="3">
        <f t="shared" si="48"/>
        <v>132</v>
      </c>
      <c r="G321" s="3" t="s">
        <v>1276</v>
      </c>
      <c r="H321" s="5" t="s">
        <v>55</v>
      </c>
    </row>
    <row r="322" spans="1:8" ht="21" x14ac:dyDescent="0.7">
      <c r="A322" s="2">
        <v>321</v>
      </c>
      <c r="B322" s="8" t="s">
        <v>10</v>
      </c>
      <c r="C322" s="10" t="s">
        <v>1277</v>
      </c>
      <c r="D322" s="3"/>
      <c r="E322" s="3">
        <v>5</v>
      </c>
      <c r="F322" s="3">
        <f t="shared" si="48"/>
        <v>127</v>
      </c>
      <c r="G322" s="3">
        <v>5276</v>
      </c>
      <c r="H322" s="5" t="s">
        <v>545</v>
      </c>
    </row>
    <row r="323" spans="1:8" ht="21" x14ac:dyDescent="0.7">
      <c r="A323" s="2">
        <v>322</v>
      </c>
      <c r="B323" s="8" t="s">
        <v>10</v>
      </c>
      <c r="C323" s="10" t="s">
        <v>1278</v>
      </c>
      <c r="D323" s="3"/>
      <c r="E323" s="3">
        <v>1</v>
      </c>
      <c r="F323" s="3">
        <f t="shared" si="48"/>
        <v>126</v>
      </c>
      <c r="G323" s="3">
        <v>5287</v>
      </c>
      <c r="H323" s="5" t="s">
        <v>614</v>
      </c>
    </row>
    <row r="324" spans="1:8" ht="21" x14ac:dyDescent="0.7">
      <c r="A324" s="2">
        <v>323</v>
      </c>
      <c r="B324" s="8" t="s">
        <v>10</v>
      </c>
      <c r="C324" s="10" t="s">
        <v>1279</v>
      </c>
      <c r="D324" s="3"/>
      <c r="E324" s="3">
        <v>6</v>
      </c>
      <c r="F324" s="3">
        <f t="shared" ref="F324:F329" si="49">F323-E324</f>
        <v>120</v>
      </c>
      <c r="G324" s="3" t="s">
        <v>1280</v>
      </c>
      <c r="H324" s="5" t="s">
        <v>49</v>
      </c>
    </row>
    <row r="325" spans="1:8" ht="21" x14ac:dyDescent="0.7">
      <c r="A325" s="2">
        <v>324</v>
      </c>
      <c r="B325" s="8" t="s">
        <v>10</v>
      </c>
      <c r="C325" s="10" t="s">
        <v>1282</v>
      </c>
      <c r="D325" s="3"/>
      <c r="E325" s="3">
        <v>4</v>
      </c>
      <c r="F325" s="3">
        <f t="shared" si="49"/>
        <v>116</v>
      </c>
      <c r="G325" s="3" t="s">
        <v>1283</v>
      </c>
      <c r="H325" s="5" t="s">
        <v>55</v>
      </c>
    </row>
    <row r="326" spans="1:8" ht="21" x14ac:dyDescent="0.7">
      <c r="A326" s="2">
        <v>325</v>
      </c>
      <c r="B326" s="8" t="s">
        <v>10</v>
      </c>
      <c r="C326" s="10" t="s">
        <v>1284</v>
      </c>
      <c r="D326" s="3"/>
      <c r="E326" s="3">
        <v>1</v>
      </c>
      <c r="F326" s="3">
        <f t="shared" si="49"/>
        <v>115</v>
      </c>
      <c r="G326" s="3" t="s">
        <v>1285</v>
      </c>
      <c r="H326" s="5" t="s">
        <v>951</v>
      </c>
    </row>
    <row r="327" spans="1:8" ht="21" x14ac:dyDescent="0.7">
      <c r="A327" s="2">
        <v>326</v>
      </c>
      <c r="B327" s="8" t="s">
        <v>10</v>
      </c>
      <c r="C327" s="10" t="s">
        <v>1287</v>
      </c>
      <c r="D327" s="3"/>
      <c r="E327" s="3">
        <v>3</v>
      </c>
      <c r="F327" s="3">
        <f t="shared" si="49"/>
        <v>112</v>
      </c>
      <c r="G327" s="3" t="s">
        <v>1288</v>
      </c>
      <c r="H327" s="5" t="s">
        <v>55</v>
      </c>
    </row>
    <row r="328" spans="1:8" ht="21" x14ac:dyDescent="0.7">
      <c r="A328" s="2">
        <v>327</v>
      </c>
      <c r="B328" s="8" t="s">
        <v>10</v>
      </c>
      <c r="C328" s="10" t="s">
        <v>1289</v>
      </c>
      <c r="D328" s="3"/>
      <c r="E328" s="3">
        <v>5</v>
      </c>
      <c r="F328" s="3">
        <f t="shared" si="49"/>
        <v>107</v>
      </c>
      <c r="G328" s="3">
        <v>5292</v>
      </c>
      <c r="H328" s="5" t="s">
        <v>1205</v>
      </c>
    </row>
    <row r="329" spans="1:8" ht="21" x14ac:dyDescent="0.7">
      <c r="A329" s="2">
        <v>328</v>
      </c>
      <c r="B329" s="8" t="s">
        <v>10</v>
      </c>
      <c r="C329" s="10" t="s">
        <v>1290</v>
      </c>
      <c r="D329" s="3"/>
      <c r="E329" s="3">
        <v>17</v>
      </c>
      <c r="F329" s="3">
        <f t="shared" si="49"/>
        <v>90</v>
      </c>
      <c r="G329" s="3">
        <v>5293</v>
      </c>
      <c r="H329" s="5" t="s">
        <v>1291</v>
      </c>
    </row>
    <row r="330" spans="1:8" ht="21" x14ac:dyDescent="0.7">
      <c r="A330" s="2">
        <v>329</v>
      </c>
      <c r="B330" s="8" t="s">
        <v>10</v>
      </c>
      <c r="C330" s="10" t="s">
        <v>1292</v>
      </c>
      <c r="D330" s="3"/>
      <c r="E330" s="3">
        <v>1</v>
      </c>
      <c r="F330" s="3">
        <f t="shared" ref="F330:F335" si="50">F329-E330</f>
        <v>89</v>
      </c>
      <c r="G330" s="3">
        <v>5294</v>
      </c>
      <c r="H330" s="5" t="s">
        <v>1293</v>
      </c>
    </row>
    <row r="331" spans="1:8" ht="21" x14ac:dyDescent="0.7">
      <c r="A331" s="2">
        <v>330</v>
      </c>
      <c r="B331" s="8" t="s">
        <v>10</v>
      </c>
      <c r="C331" s="10" t="s">
        <v>1298</v>
      </c>
      <c r="D331" s="3"/>
      <c r="E331" s="3">
        <v>3</v>
      </c>
      <c r="F331" s="3">
        <f t="shared" si="50"/>
        <v>86</v>
      </c>
      <c r="G331" s="3" t="s">
        <v>1299</v>
      </c>
      <c r="H331" s="5" t="s">
        <v>55</v>
      </c>
    </row>
    <row r="332" spans="1:8" ht="21" x14ac:dyDescent="0.7">
      <c r="A332" s="2">
        <v>331</v>
      </c>
      <c r="B332" s="8" t="s">
        <v>10</v>
      </c>
      <c r="C332" s="10" t="s">
        <v>1302</v>
      </c>
      <c r="D332" s="3"/>
      <c r="E332" s="3">
        <v>1</v>
      </c>
      <c r="F332" s="3">
        <f t="shared" si="50"/>
        <v>85</v>
      </c>
      <c r="G332" s="3" t="s">
        <v>1304</v>
      </c>
      <c r="H332" s="5" t="s">
        <v>55</v>
      </c>
    </row>
    <row r="333" spans="1:8" ht="21" x14ac:dyDescent="0.7">
      <c r="A333" s="2">
        <v>332</v>
      </c>
      <c r="B333" s="8" t="s">
        <v>10</v>
      </c>
      <c r="C333" s="10" t="s">
        <v>1305</v>
      </c>
      <c r="D333" s="3"/>
      <c r="E333" s="3">
        <v>1</v>
      </c>
      <c r="F333" s="3">
        <f t="shared" si="50"/>
        <v>84</v>
      </c>
      <c r="G333" s="3" t="s">
        <v>1307</v>
      </c>
      <c r="H333" s="5" t="s">
        <v>1306</v>
      </c>
    </row>
    <row r="334" spans="1:8" ht="21" x14ac:dyDescent="0.7">
      <c r="A334" s="2">
        <v>333</v>
      </c>
      <c r="B334" s="8" t="s">
        <v>10</v>
      </c>
      <c r="C334" s="10" t="s">
        <v>1312</v>
      </c>
      <c r="D334" s="3"/>
      <c r="E334" s="3">
        <v>1</v>
      </c>
      <c r="F334" s="3">
        <f t="shared" si="50"/>
        <v>83</v>
      </c>
      <c r="G334" s="3">
        <v>5313</v>
      </c>
      <c r="H334" s="5" t="s">
        <v>1313</v>
      </c>
    </row>
    <row r="335" spans="1:8" ht="21" x14ac:dyDescent="0.7">
      <c r="A335" s="2">
        <v>334</v>
      </c>
      <c r="B335" s="8" t="s">
        <v>10</v>
      </c>
      <c r="C335" s="10" t="s">
        <v>1314</v>
      </c>
      <c r="D335" s="3"/>
      <c r="E335" s="3">
        <v>1</v>
      </c>
      <c r="F335" s="3">
        <f t="shared" si="50"/>
        <v>82</v>
      </c>
      <c r="G335" s="3">
        <v>5314</v>
      </c>
      <c r="H335" s="5" t="s">
        <v>1315</v>
      </c>
    </row>
    <row r="336" spans="1:8" ht="21" x14ac:dyDescent="0.7">
      <c r="A336" s="2">
        <v>335</v>
      </c>
      <c r="B336" s="8" t="s">
        <v>10</v>
      </c>
      <c r="C336" s="10" t="s">
        <v>1316</v>
      </c>
      <c r="D336" s="3"/>
      <c r="E336" s="3">
        <v>10</v>
      </c>
      <c r="F336" s="3">
        <f t="shared" ref="F336:F341" si="51">F335-E336</f>
        <v>72</v>
      </c>
      <c r="G336" s="3">
        <v>5317</v>
      </c>
      <c r="H336" s="5" t="s">
        <v>1270</v>
      </c>
    </row>
    <row r="337" spans="1:9" ht="21" x14ac:dyDescent="0.7">
      <c r="A337" s="2">
        <v>336</v>
      </c>
      <c r="B337" s="8" t="s">
        <v>10</v>
      </c>
      <c r="C337" s="10" t="s">
        <v>1316</v>
      </c>
      <c r="D337" s="3"/>
      <c r="E337" s="3">
        <v>5</v>
      </c>
      <c r="F337" s="3">
        <f t="shared" si="51"/>
        <v>67</v>
      </c>
      <c r="G337" s="3" t="s">
        <v>1317</v>
      </c>
      <c r="H337" s="5" t="s">
        <v>55</v>
      </c>
    </row>
    <row r="338" spans="1:9" ht="21" x14ac:dyDescent="0.7">
      <c r="A338" s="2">
        <v>337</v>
      </c>
      <c r="B338" s="8" t="s">
        <v>10</v>
      </c>
      <c r="C338" s="10" t="s">
        <v>1318</v>
      </c>
      <c r="D338" s="3"/>
      <c r="E338" s="3">
        <v>5</v>
      </c>
      <c r="F338" s="3">
        <f t="shared" si="51"/>
        <v>62</v>
      </c>
      <c r="G338" s="3" t="s">
        <v>1319</v>
      </c>
      <c r="H338" s="5" t="s">
        <v>55</v>
      </c>
    </row>
    <row r="339" spans="1:9" ht="21" x14ac:dyDescent="0.7">
      <c r="A339" s="2">
        <v>338</v>
      </c>
      <c r="B339" s="8" t="s">
        <v>10</v>
      </c>
      <c r="C339" s="10" t="s">
        <v>1320</v>
      </c>
      <c r="D339" s="3"/>
      <c r="E339" s="3">
        <v>2</v>
      </c>
      <c r="F339" s="3">
        <f t="shared" si="51"/>
        <v>60</v>
      </c>
      <c r="G339" s="3">
        <v>5318</v>
      </c>
      <c r="H339" s="5" t="s">
        <v>1321</v>
      </c>
    </row>
    <row r="340" spans="1:9" ht="21" x14ac:dyDescent="0.7">
      <c r="A340" s="2">
        <v>339</v>
      </c>
      <c r="B340" s="8" t="s">
        <v>10</v>
      </c>
      <c r="C340" s="10" t="s">
        <v>1320</v>
      </c>
      <c r="D340" s="3"/>
      <c r="E340" s="3">
        <v>8</v>
      </c>
      <c r="F340" s="3">
        <f t="shared" si="51"/>
        <v>52</v>
      </c>
      <c r="G340" s="3">
        <v>5319</v>
      </c>
      <c r="H340" s="5" t="s">
        <v>850</v>
      </c>
    </row>
    <row r="341" spans="1:9" ht="21" x14ac:dyDescent="0.7">
      <c r="A341" s="2">
        <v>340</v>
      </c>
      <c r="B341" s="8" t="s">
        <v>10</v>
      </c>
      <c r="C341" s="10" t="s">
        <v>1320</v>
      </c>
      <c r="D341" s="3"/>
      <c r="E341" s="3">
        <v>1</v>
      </c>
      <c r="F341" s="3">
        <f t="shared" si="51"/>
        <v>51</v>
      </c>
      <c r="G341" s="3">
        <v>5320</v>
      </c>
      <c r="H341" s="5" t="s">
        <v>1322</v>
      </c>
    </row>
    <row r="342" spans="1:9" ht="21" x14ac:dyDescent="0.7">
      <c r="A342" s="2">
        <v>341</v>
      </c>
      <c r="B342" s="8" t="s">
        <v>10</v>
      </c>
      <c r="C342" s="10" t="s">
        <v>1324</v>
      </c>
      <c r="D342" s="3"/>
      <c r="E342" s="3">
        <v>4</v>
      </c>
      <c r="F342" s="3">
        <f t="shared" ref="F342:F347" si="52">F341-E342</f>
        <v>47</v>
      </c>
      <c r="G342" s="3" t="s">
        <v>1325</v>
      </c>
      <c r="H342" s="5" t="s">
        <v>55</v>
      </c>
    </row>
    <row r="343" spans="1:9" ht="21" x14ac:dyDescent="0.7">
      <c r="A343" s="2">
        <v>342</v>
      </c>
      <c r="B343" s="8" t="s">
        <v>10</v>
      </c>
      <c r="C343" s="10" t="s">
        <v>1327</v>
      </c>
      <c r="D343" s="3"/>
      <c r="E343" s="3">
        <v>8</v>
      </c>
      <c r="F343" s="3">
        <f t="shared" si="52"/>
        <v>39</v>
      </c>
      <c r="G343" s="3">
        <v>5331</v>
      </c>
      <c r="H343" s="5" t="s">
        <v>850</v>
      </c>
    </row>
    <row r="344" spans="1:9" ht="21" x14ac:dyDescent="0.7">
      <c r="A344" s="2">
        <v>343</v>
      </c>
      <c r="B344" s="8" t="s">
        <v>10</v>
      </c>
      <c r="C344" s="10" t="s">
        <v>1331</v>
      </c>
      <c r="D344" s="3"/>
      <c r="E344" s="3">
        <v>4</v>
      </c>
      <c r="F344" s="3">
        <f t="shared" si="52"/>
        <v>35</v>
      </c>
      <c r="G344" s="3" t="s">
        <v>1332</v>
      </c>
      <c r="H344" s="5" t="s">
        <v>55</v>
      </c>
    </row>
    <row r="345" spans="1:9" ht="21" x14ac:dyDescent="0.7">
      <c r="A345" s="2">
        <v>344</v>
      </c>
      <c r="B345" s="8" t="s">
        <v>10</v>
      </c>
      <c r="C345" s="10" t="s">
        <v>1333</v>
      </c>
      <c r="D345" s="3"/>
      <c r="E345" s="3">
        <v>3</v>
      </c>
      <c r="F345" s="3">
        <f t="shared" si="52"/>
        <v>32</v>
      </c>
      <c r="G345" s="3" t="s">
        <v>1334</v>
      </c>
      <c r="H345" s="5" t="s">
        <v>55</v>
      </c>
    </row>
    <row r="346" spans="1:9" ht="21" x14ac:dyDescent="0.7">
      <c r="A346" s="2">
        <v>345</v>
      </c>
      <c r="B346" s="8" t="s">
        <v>10</v>
      </c>
      <c r="C346" s="10" t="s">
        <v>1335</v>
      </c>
      <c r="D346" s="3"/>
      <c r="E346" s="3">
        <v>2</v>
      </c>
      <c r="F346" s="3">
        <f t="shared" si="52"/>
        <v>30</v>
      </c>
      <c r="G346" s="3">
        <v>5333</v>
      </c>
      <c r="H346" s="5" t="s">
        <v>1336</v>
      </c>
    </row>
    <row r="347" spans="1:9" ht="21" x14ac:dyDescent="0.7">
      <c r="A347" s="2">
        <v>346</v>
      </c>
      <c r="B347" s="8" t="s">
        <v>10</v>
      </c>
      <c r="C347" s="10" t="s">
        <v>1338</v>
      </c>
      <c r="D347" s="3"/>
      <c r="E347" s="3">
        <v>6</v>
      </c>
      <c r="F347" s="3">
        <f t="shared" si="52"/>
        <v>24</v>
      </c>
      <c r="G347" s="3" t="s">
        <v>1339</v>
      </c>
      <c r="H347" s="5" t="s">
        <v>49</v>
      </c>
    </row>
    <row r="348" spans="1:9" ht="21" x14ac:dyDescent="0.7">
      <c r="A348" s="2">
        <v>347</v>
      </c>
      <c r="B348" s="8" t="s">
        <v>10</v>
      </c>
      <c r="C348" s="10" t="s">
        <v>1340</v>
      </c>
      <c r="D348" s="3"/>
      <c r="E348" s="3">
        <v>5</v>
      </c>
      <c r="F348" s="3">
        <f t="shared" ref="F348:F353" si="53">F347-E348</f>
        <v>19</v>
      </c>
      <c r="G348" s="3">
        <v>5337</v>
      </c>
      <c r="H348" s="5" t="s">
        <v>46</v>
      </c>
      <c r="I348" s="23" t="s">
        <v>1337</v>
      </c>
    </row>
    <row r="349" spans="1:9" ht="21" x14ac:dyDescent="0.7">
      <c r="A349" s="2">
        <v>348</v>
      </c>
      <c r="B349" s="8" t="s">
        <v>10</v>
      </c>
      <c r="C349" s="10" t="s">
        <v>1347</v>
      </c>
      <c r="D349" s="3"/>
      <c r="E349" s="3">
        <v>8</v>
      </c>
      <c r="F349" s="3">
        <f t="shared" si="53"/>
        <v>11</v>
      </c>
      <c r="G349" s="3">
        <v>5341</v>
      </c>
      <c r="H349" s="5" t="s">
        <v>704</v>
      </c>
    </row>
    <row r="350" spans="1:9" ht="21" x14ac:dyDescent="0.7">
      <c r="A350" s="2">
        <v>349</v>
      </c>
      <c r="B350" s="8" t="s">
        <v>10</v>
      </c>
      <c r="C350" s="10" t="s">
        <v>1341</v>
      </c>
      <c r="D350" s="3"/>
      <c r="E350" s="3">
        <v>3</v>
      </c>
      <c r="F350" s="3">
        <f t="shared" si="53"/>
        <v>8</v>
      </c>
      <c r="G350" s="3" t="s">
        <v>1342</v>
      </c>
      <c r="H350" s="5" t="s">
        <v>55</v>
      </c>
    </row>
    <row r="351" spans="1:9" ht="21" x14ac:dyDescent="0.7">
      <c r="A351" s="2">
        <v>350</v>
      </c>
      <c r="B351" s="8" t="s">
        <v>10</v>
      </c>
      <c r="C351" s="10" t="s">
        <v>1348</v>
      </c>
      <c r="D351" s="3"/>
      <c r="E351" s="3">
        <v>2</v>
      </c>
      <c r="F351" s="3">
        <f t="shared" si="53"/>
        <v>6</v>
      </c>
      <c r="G351" s="3">
        <v>5342</v>
      </c>
      <c r="H351" s="5" t="s">
        <v>1247</v>
      </c>
    </row>
    <row r="352" spans="1:9" ht="21" x14ac:dyDescent="0.7">
      <c r="A352" s="2">
        <v>351</v>
      </c>
      <c r="B352" s="8" t="s">
        <v>10</v>
      </c>
      <c r="C352" s="10" t="s">
        <v>1341</v>
      </c>
      <c r="D352" s="3"/>
      <c r="E352" s="3">
        <v>3</v>
      </c>
      <c r="F352" s="3">
        <f t="shared" si="53"/>
        <v>3</v>
      </c>
      <c r="G352" s="3" t="s">
        <v>1343</v>
      </c>
      <c r="H352" s="5" t="s">
        <v>49</v>
      </c>
    </row>
    <row r="353" spans="1:9" ht="21" x14ac:dyDescent="0.7">
      <c r="A353" s="2">
        <v>352</v>
      </c>
      <c r="B353" s="8" t="s">
        <v>10</v>
      </c>
      <c r="C353" s="10" t="s">
        <v>1344</v>
      </c>
      <c r="D353" s="3"/>
      <c r="E353" s="3">
        <v>3</v>
      </c>
      <c r="F353" s="3">
        <f t="shared" si="53"/>
        <v>0</v>
      </c>
      <c r="G353" s="3" t="s">
        <v>1345</v>
      </c>
      <c r="H353" s="5" t="s">
        <v>55</v>
      </c>
    </row>
    <row r="354" spans="1:9" ht="21" x14ac:dyDescent="0.7">
      <c r="A354" s="2">
        <v>353</v>
      </c>
      <c r="B354" s="8" t="s">
        <v>10</v>
      </c>
      <c r="C354" s="10" t="s">
        <v>1372</v>
      </c>
      <c r="D354" s="3">
        <v>960</v>
      </c>
      <c r="E354" s="3"/>
      <c r="F354" s="3">
        <v>960</v>
      </c>
      <c r="G354" s="3"/>
      <c r="H354" s="19" t="s">
        <v>1371</v>
      </c>
    </row>
    <row r="355" spans="1:9" ht="21" x14ac:dyDescent="0.7">
      <c r="A355" s="2">
        <v>354</v>
      </c>
      <c r="B355" s="8" t="s">
        <v>10</v>
      </c>
      <c r="C355" s="10" t="s">
        <v>1373</v>
      </c>
      <c r="D355" s="3"/>
      <c r="E355" s="3">
        <v>1</v>
      </c>
      <c r="F355" s="3">
        <f t="shared" ref="F355:F360" si="54">F354-E355</f>
        <v>959</v>
      </c>
      <c r="G355" s="3" t="s">
        <v>1374</v>
      </c>
      <c r="H355" s="5" t="s">
        <v>55</v>
      </c>
    </row>
    <row r="356" spans="1:9" ht="21" x14ac:dyDescent="0.7">
      <c r="A356" s="2">
        <v>355</v>
      </c>
      <c r="B356" s="8" t="s">
        <v>10</v>
      </c>
      <c r="C356" s="10" t="s">
        <v>1375</v>
      </c>
      <c r="D356" s="3"/>
      <c r="E356" s="3">
        <v>12</v>
      </c>
      <c r="F356" s="3">
        <f t="shared" si="54"/>
        <v>947</v>
      </c>
      <c r="G356" s="3" t="s">
        <v>1376</v>
      </c>
      <c r="H356" s="5" t="s">
        <v>55</v>
      </c>
    </row>
    <row r="357" spans="1:9" ht="21" x14ac:dyDescent="0.7">
      <c r="A357" s="2">
        <v>356</v>
      </c>
      <c r="B357" s="8" t="s">
        <v>10</v>
      </c>
      <c r="C357" s="10" t="s">
        <v>1377</v>
      </c>
      <c r="D357" s="3"/>
      <c r="E357" s="3">
        <v>24</v>
      </c>
      <c r="F357" s="3">
        <f t="shared" si="54"/>
        <v>923</v>
      </c>
      <c r="G357" s="3" t="s">
        <v>1378</v>
      </c>
      <c r="H357" s="5" t="s">
        <v>55</v>
      </c>
    </row>
    <row r="358" spans="1:9" ht="21" x14ac:dyDescent="0.7">
      <c r="A358" s="2">
        <v>357</v>
      </c>
      <c r="B358" s="8" t="s">
        <v>10</v>
      </c>
      <c r="C358" s="10" t="s">
        <v>1379</v>
      </c>
      <c r="D358" s="3"/>
      <c r="E358" s="3">
        <v>10</v>
      </c>
      <c r="F358" s="3">
        <f t="shared" si="54"/>
        <v>913</v>
      </c>
      <c r="G358" s="3" t="s">
        <v>1380</v>
      </c>
      <c r="H358" s="5" t="s">
        <v>55</v>
      </c>
    </row>
    <row r="359" spans="1:9" ht="21" x14ac:dyDescent="0.7">
      <c r="A359" s="2">
        <v>358</v>
      </c>
      <c r="B359" s="8" t="s">
        <v>10</v>
      </c>
      <c r="C359" s="10" t="s">
        <v>1381</v>
      </c>
      <c r="D359" s="3"/>
      <c r="E359" s="3">
        <v>30</v>
      </c>
      <c r="F359" s="3">
        <f t="shared" si="54"/>
        <v>883</v>
      </c>
      <c r="G359" s="3">
        <v>5392</v>
      </c>
      <c r="H359" s="5" t="s">
        <v>400</v>
      </c>
    </row>
    <row r="360" spans="1:9" ht="21" x14ac:dyDescent="0.7">
      <c r="A360" s="2">
        <v>359</v>
      </c>
      <c r="B360" s="8" t="s">
        <v>10</v>
      </c>
      <c r="C360" s="10" t="s">
        <v>1382</v>
      </c>
      <c r="D360" s="3"/>
      <c r="E360" s="3">
        <v>4</v>
      </c>
      <c r="F360" s="3">
        <f t="shared" si="54"/>
        <v>879</v>
      </c>
      <c r="G360" s="3">
        <v>5396</v>
      </c>
      <c r="H360" s="5" t="s">
        <v>150</v>
      </c>
    </row>
    <row r="361" spans="1:9" ht="21" x14ac:dyDescent="0.7">
      <c r="A361" s="2">
        <v>360</v>
      </c>
      <c r="B361" s="8" t="s">
        <v>10</v>
      </c>
      <c r="C361" s="10" t="s">
        <v>1382</v>
      </c>
      <c r="D361" s="3"/>
      <c r="E361" s="3">
        <v>2</v>
      </c>
      <c r="F361" s="3">
        <f>F360-E361</f>
        <v>877</v>
      </c>
      <c r="G361" s="3">
        <v>5397</v>
      </c>
      <c r="H361" s="5" t="s">
        <v>1247</v>
      </c>
    </row>
    <row r="362" spans="1:9" ht="21" x14ac:dyDescent="0.7">
      <c r="A362" s="2">
        <v>361</v>
      </c>
      <c r="B362" s="8" t="s">
        <v>10</v>
      </c>
      <c r="C362" s="10" t="s">
        <v>1382</v>
      </c>
      <c r="D362" s="3"/>
      <c r="E362" s="3">
        <v>1</v>
      </c>
      <c r="F362" s="3">
        <f>F361-E362</f>
        <v>876</v>
      </c>
      <c r="G362" s="3">
        <v>5398</v>
      </c>
      <c r="H362" s="5" t="s">
        <v>1385</v>
      </c>
    </row>
    <row r="363" spans="1:9" ht="21" x14ac:dyDescent="0.7">
      <c r="A363" s="2">
        <v>362</v>
      </c>
      <c r="B363" s="8" t="s">
        <v>10</v>
      </c>
      <c r="C363" s="10" t="s">
        <v>1392</v>
      </c>
      <c r="D363" s="3"/>
      <c r="E363" s="3">
        <v>1</v>
      </c>
      <c r="F363" s="3">
        <f>F362-E363</f>
        <v>875</v>
      </c>
      <c r="G363" s="3">
        <v>5404</v>
      </c>
      <c r="H363" s="5" t="s">
        <v>1393</v>
      </c>
    </row>
    <row r="364" spans="1:9" ht="21" x14ac:dyDescent="0.7">
      <c r="A364" s="2">
        <v>363</v>
      </c>
      <c r="B364" s="8" t="s">
        <v>10</v>
      </c>
      <c r="C364" s="10" t="s">
        <v>1394</v>
      </c>
      <c r="D364" s="3"/>
      <c r="E364" s="3">
        <v>20</v>
      </c>
      <c r="F364" s="3">
        <f>F363-E364</f>
        <v>855</v>
      </c>
      <c r="G364" s="3">
        <v>5406</v>
      </c>
      <c r="H364" s="5" t="s">
        <v>1395</v>
      </c>
    </row>
    <row r="365" spans="1:9" ht="21" x14ac:dyDescent="0.7">
      <c r="A365" s="2">
        <v>364</v>
      </c>
      <c r="B365" s="8" t="s">
        <v>10</v>
      </c>
      <c r="C365" s="10" t="s">
        <v>1396</v>
      </c>
      <c r="D365" s="3"/>
      <c r="E365" s="3">
        <v>5</v>
      </c>
      <c r="F365" s="3">
        <f>F364-E365</f>
        <v>850</v>
      </c>
      <c r="G365" s="3" t="s">
        <v>1397</v>
      </c>
      <c r="H365" s="5" t="s">
        <v>55</v>
      </c>
    </row>
    <row r="366" spans="1:9" ht="21" x14ac:dyDescent="0.7">
      <c r="A366" s="2">
        <v>365</v>
      </c>
      <c r="B366" s="8" t="s">
        <v>10</v>
      </c>
      <c r="C366" s="10" t="s">
        <v>1400</v>
      </c>
      <c r="D366" s="16">
        <v>2</v>
      </c>
      <c r="E366" s="3"/>
      <c r="F366" s="3">
        <f>F365+D366</f>
        <v>852</v>
      </c>
      <c r="G366" s="3">
        <v>5397</v>
      </c>
      <c r="H366" s="5" t="s">
        <v>1401</v>
      </c>
      <c r="I366" t="s">
        <v>1183</v>
      </c>
    </row>
    <row r="367" spans="1:9" ht="19.5" customHeight="1" x14ac:dyDescent="0.7">
      <c r="A367" s="2">
        <v>366</v>
      </c>
      <c r="B367" s="8" t="s">
        <v>10</v>
      </c>
      <c r="C367" s="10" t="s">
        <v>1404</v>
      </c>
      <c r="D367" s="3"/>
      <c r="E367" s="3">
        <v>5</v>
      </c>
      <c r="F367" s="3">
        <f t="shared" ref="F367:F372" si="55">F366-E367</f>
        <v>847</v>
      </c>
      <c r="G367" s="3" t="s">
        <v>1405</v>
      </c>
      <c r="H367" s="5" t="s">
        <v>55</v>
      </c>
    </row>
    <row r="368" spans="1:9" ht="21" x14ac:dyDescent="0.7">
      <c r="A368" s="2">
        <v>367</v>
      </c>
      <c r="B368" s="8" t="s">
        <v>10</v>
      </c>
      <c r="C368" s="10" t="s">
        <v>1400</v>
      </c>
      <c r="D368" s="3"/>
      <c r="E368" s="3">
        <v>10</v>
      </c>
      <c r="F368" s="3">
        <f t="shared" si="55"/>
        <v>837</v>
      </c>
      <c r="G368" s="3">
        <v>5408</v>
      </c>
      <c r="H368" s="5" t="s">
        <v>704</v>
      </c>
    </row>
    <row r="369" spans="1:8" ht="21" x14ac:dyDescent="0.7">
      <c r="A369" s="2">
        <v>368</v>
      </c>
      <c r="B369" s="8" t="s">
        <v>10</v>
      </c>
      <c r="C369" s="10" t="s">
        <v>1400</v>
      </c>
      <c r="D369" s="3"/>
      <c r="E369" s="3">
        <v>10</v>
      </c>
      <c r="F369" s="3">
        <f t="shared" si="55"/>
        <v>827</v>
      </c>
      <c r="G369" s="3">
        <v>5409</v>
      </c>
      <c r="H369" s="5" t="s">
        <v>704</v>
      </c>
    </row>
    <row r="370" spans="1:8" ht="21" x14ac:dyDescent="0.7">
      <c r="A370" s="2">
        <v>369</v>
      </c>
      <c r="B370" s="8" t="s">
        <v>10</v>
      </c>
      <c r="C370" s="10" t="s">
        <v>1408</v>
      </c>
      <c r="D370" s="3"/>
      <c r="E370" s="3">
        <v>7</v>
      </c>
      <c r="F370" s="3">
        <f t="shared" si="55"/>
        <v>820</v>
      </c>
      <c r="G370" s="3">
        <v>5416</v>
      </c>
      <c r="H370" s="5" t="s">
        <v>168</v>
      </c>
    </row>
    <row r="371" spans="1:8" ht="21" x14ac:dyDescent="0.7">
      <c r="A371" s="2">
        <v>370</v>
      </c>
      <c r="B371" s="8" t="s">
        <v>10</v>
      </c>
      <c r="C371" s="10" t="s">
        <v>1408</v>
      </c>
      <c r="D371" s="3"/>
      <c r="E371" s="3">
        <v>4</v>
      </c>
      <c r="F371" s="3">
        <f t="shared" si="55"/>
        <v>816</v>
      </c>
      <c r="G371" s="3">
        <v>5417</v>
      </c>
      <c r="H371" s="5" t="s">
        <v>1355</v>
      </c>
    </row>
    <row r="372" spans="1:8" ht="21" x14ac:dyDescent="0.7">
      <c r="A372" s="2">
        <v>371</v>
      </c>
      <c r="B372" s="8" t="s">
        <v>10</v>
      </c>
      <c r="C372" s="10" t="s">
        <v>1412</v>
      </c>
      <c r="D372" s="3"/>
      <c r="E372" s="3">
        <v>2</v>
      </c>
      <c r="F372" s="3">
        <f t="shared" si="55"/>
        <v>814</v>
      </c>
      <c r="G372" s="3">
        <v>5424</v>
      </c>
      <c r="H372" s="5" t="s">
        <v>618</v>
      </c>
    </row>
    <row r="373" spans="1:8" ht="21" x14ac:dyDescent="0.7">
      <c r="A373" s="2">
        <v>372</v>
      </c>
      <c r="B373" s="8" t="s">
        <v>10</v>
      </c>
      <c r="C373" s="10" t="s">
        <v>1413</v>
      </c>
      <c r="D373" s="3"/>
      <c r="E373" s="3">
        <v>3</v>
      </c>
      <c r="F373" s="3">
        <f t="shared" ref="F373:F378" si="56">F372-E373</f>
        <v>811</v>
      </c>
      <c r="G373" s="3" t="s">
        <v>1414</v>
      </c>
      <c r="H373" s="5" t="s">
        <v>55</v>
      </c>
    </row>
    <row r="374" spans="1:8" ht="21" x14ac:dyDescent="0.7">
      <c r="A374" s="2">
        <v>373</v>
      </c>
      <c r="B374" s="8" t="s">
        <v>10</v>
      </c>
      <c r="C374" s="10" t="s">
        <v>1413</v>
      </c>
      <c r="D374" s="3"/>
      <c r="E374" s="3">
        <v>6</v>
      </c>
      <c r="F374" s="3">
        <f t="shared" si="56"/>
        <v>805</v>
      </c>
      <c r="G374" s="3" t="s">
        <v>1415</v>
      </c>
      <c r="H374" s="5" t="s">
        <v>55</v>
      </c>
    </row>
    <row r="375" spans="1:8" ht="21" x14ac:dyDescent="0.7">
      <c r="A375" s="2">
        <v>374</v>
      </c>
      <c r="B375" s="8" t="s">
        <v>10</v>
      </c>
      <c r="C375" s="10" t="s">
        <v>1413</v>
      </c>
      <c r="D375" s="3"/>
      <c r="E375" s="3">
        <v>2</v>
      </c>
      <c r="F375" s="3">
        <f t="shared" si="56"/>
        <v>803</v>
      </c>
      <c r="G375" s="3">
        <v>5430</v>
      </c>
      <c r="H375" s="5" t="s">
        <v>1416</v>
      </c>
    </row>
    <row r="376" spans="1:8" ht="21" x14ac:dyDescent="0.7">
      <c r="A376" s="2">
        <v>375</v>
      </c>
      <c r="B376" s="8" t="s">
        <v>10</v>
      </c>
      <c r="C376" s="10" t="s">
        <v>1413</v>
      </c>
      <c r="D376" s="3"/>
      <c r="E376" s="3">
        <v>2</v>
      </c>
      <c r="F376" s="3">
        <f t="shared" si="56"/>
        <v>801</v>
      </c>
      <c r="G376" s="3">
        <v>5429</v>
      </c>
      <c r="H376" s="5" t="s">
        <v>1355</v>
      </c>
    </row>
    <row r="377" spans="1:8" ht="21" x14ac:dyDescent="0.7">
      <c r="A377" s="2">
        <v>376</v>
      </c>
      <c r="B377" s="8" t="s">
        <v>10</v>
      </c>
      <c r="C377" s="10" t="s">
        <v>1418</v>
      </c>
      <c r="D377" s="3"/>
      <c r="E377" s="3">
        <v>3</v>
      </c>
      <c r="F377" s="3">
        <f t="shared" si="56"/>
        <v>798</v>
      </c>
      <c r="G377" s="3">
        <v>5426</v>
      </c>
      <c r="H377" s="5" t="s">
        <v>1129</v>
      </c>
    </row>
    <row r="378" spans="1:8" ht="21" x14ac:dyDescent="0.7">
      <c r="A378" s="2">
        <v>377</v>
      </c>
      <c r="B378" s="8" t="s">
        <v>10</v>
      </c>
      <c r="C378" s="10" t="s">
        <v>1422</v>
      </c>
      <c r="D378" s="3"/>
      <c r="E378" s="3">
        <v>5</v>
      </c>
      <c r="F378" s="3">
        <f t="shared" si="56"/>
        <v>793</v>
      </c>
      <c r="G378" s="3" t="s">
        <v>1423</v>
      </c>
      <c r="H378" s="5" t="s">
        <v>55</v>
      </c>
    </row>
    <row r="379" spans="1:8" ht="21" x14ac:dyDescent="0.7">
      <c r="A379" s="2">
        <v>378</v>
      </c>
      <c r="B379" s="8" t="s">
        <v>10</v>
      </c>
      <c r="C379" s="10" t="s">
        <v>1424</v>
      </c>
      <c r="D379" s="3"/>
      <c r="E379" s="3">
        <v>1</v>
      </c>
      <c r="F379" s="3">
        <f t="shared" ref="F379:F384" si="57">F378-E379</f>
        <v>792</v>
      </c>
      <c r="G379" s="3">
        <v>5433</v>
      </c>
      <c r="H379" s="5" t="s">
        <v>1425</v>
      </c>
    </row>
    <row r="380" spans="1:8" ht="21" x14ac:dyDescent="0.7">
      <c r="A380" s="2">
        <v>379</v>
      </c>
      <c r="B380" s="8" t="s">
        <v>10</v>
      </c>
      <c r="C380" s="10" t="s">
        <v>1426</v>
      </c>
      <c r="D380" s="3"/>
      <c r="E380" s="3">
        <v>8</v>
      </c>
      <c r="F380" s="3">
        <f t="shared" si="57"/>
        <v>784</v>
      </c>
      <c r="G380" s="3" t="s">
        <v>1427</v>
      </c>
      <c r="H380" s="5" t="s">
        <v>55</v>
      </c>
    </row>
    <row r="381" spans="1:8" ht="21" x14ac:dyDescent="0.7">
      <c r="A381" s="2">
        <v>380</v>
      </c>
      <c r="B381" s="8" t="s">
        <v>10</v>
      </c>
      <c r="C381" s="10" t="s">
        <v>1428</v>
      </c>
      <c r="D381" s="3"/>
      <c r="E381" s="3">
        <v>1</v>
      </c>
      <c r="F381" s="3">
        <f t="shared" si="57"/>
        <v>783</v>
      </c>
      <c r="G381" s="3">
        <v>5437</v>
      </c>
      <c r="H381" s="5" t="s">
        <v>1429</v>
      </c>
    </row>
    <row r="382" spans="1:8" ht="21" x14ac:dyDescent="0.7">
      <c r="A382" s="2">
        <v>381</v>
      </c>
      <c r="B382" s="8" t="s">
        <v>10</v>
      </c>
      <c r="C382" s="10" t="s">
        <v>1430</v>
      </c>
      <c r="D382" s="3"/>
      <c r="E382" s="3">
        <v>30</v>
      </c>
      <c r="F382" s="3">
        <f t="shared" si="57"/>
        <v>753</v>
      </c>
      <c r="G382" s="3">
        <v>5438</v>
      </c>
      <c r="H382" s="5" t="s">
        <v>128</v>
      </c>
    </row>
    <row r="383" spans="1:8" ht="21" x14ac:dyDescent="0.7">
      <c r="A383" s="2">
        <v>382</v>
      </c>
      <c r="B383" s="8" t="s">
        <v>10</v>
      </c>
      <c r="C383" s="10" t="s">
        <v>1432</v>
      </c>
      <c r="D383" s="3"/>
      <c r="E383" s="3">
        <v>12</v>
      </c>
      <c r="F383" s="3">
        <f t="shared" si="57"/>
        <v>741</v>
      </c>
      <c r="G383" s="3" t="s">
        <v>1433</v>
      </c>
      <c r="H383" s="5" t="s">
        <v>55</v>
      </c>
    </row>
    <row r="384" spans="1:8" ht="21" x14ac:dyDescent="0.7">
      <c r="A384" s="2">
        <v>383</v>
      </c>
      <c r="B384" s="8" t="s">
        <v>10</v>
      </c>
      <c r="C384" s="10" t="s">
        <v>1437</v>
      </c>
      <c r="D384" s="3"/>
      <c r="E384" s="3">
        <v>2</v>
      </c>
      <c r="F384" s="3">
        <f t="shared" si="57"/>
        <v>739</v>
      </c>
      <c r="G384" s="3" t="s">
        <v>1438</v>
      </c>
      <c r="H384" s="5" t="s">
        <v>55</v>
      </c>
    </row>
    <row r="385" spans="1:8" ht="21" x14ac:dyDescent="0.7">
      <c r="A385" s="2">
        <v>384</v>
      </c>
      <c r="B385" s="8" t="s">
        <v>10</v>
      </c>
      <c r="C385" s="10" t="s">
        <v>1439</v>
      </c>
      <c r="D385" s="3"/>
      <c r="E385" s="3">
        <v>1</v>
      </c>
      <c r="F385" s="3">
        <f t="shared" ref="F385:F390" si="58">F384-E385</f>
        <v>738</v>
      </c>
      <c r="G385" s="3">
        <v>5441</v>
      </c>
      <c r="H385" s="5" t="s">
        <v>66</v>
      </c>
    </row>
    <row r="386" spans="1:8" ht="21" x14ac:dyDescent="0.7">
      <c r="A386" s="2">
        <v>385</v>
      </c>
      <c r="B386" s="8" t="s">
        <v>10</v>
      </c>
      <c r="C386" s="10" t="s">
        <v>1435</v>
      </c>
      <c r="D386" s="3"/>
      <c r="E386" s="3">
        <v>3</v>
      </c>
      <c r="F386" s="3">
        <f t="shared" si="58"/>
        <v>735</v>
      </c>
      <c r="G386" s="3">
        <v>5443</v>
      </c>
      <c r="H386" s="5" t="s">
        <v>545</v>
      </c>
    </row>
    <row r="387" spans="1:8" ht="21" x14ac:dyDescent="0.7">
      <c r="A387" s="2">
        <v>386</v>
      </c>
      <c r="B387" s="8" t="s">
        <v>10</v>
      </c>
      <c r="C387" s="10" t="s">
        <v>1441</v>
      </c>
      <c r="D387" s="3"/>
      <c r="E387" s="3">
        <v>10</v>
      </c>
      <c r="F387" s="3">
        <f t="shared" si="58"/>
        <v>725</v>
      </c>
      <c r="G387" s="3">
        <v>5447</v>
      </c>
      <c r="H387" s="5" t="s">
        <v>1442</v>
      </c>
    </row>
    <row r="388" spans="1:8" ht="21" x14ac:dyDescent="0.7">
      <c r="A388" s="2">
        <v>387</v>
      </c>
      <c r="B388" s="8" t="s">
        <v>10</v>
      </c>
      <c r="C388" s="10" t="s">
        <v>1444</v>
      </c>
      <c r="D388" s="3"/>
      <c r="E388" s="3">
        <v>1</v>
      </c>
      <c r="F388" s="3">
        <f t="shared" si="58"/>
        <v>724</v>
      </c>
      <c r="G388" s="3">
        <v>5451</v>
      </c>
      <c r="H388" s="5" t="s">
        <v>1445</v>
      </c>
    </row>
    <row r="389" spans="1:8" ht="21" x14ac:dyDescent="0.7">
      <c r="A389" s="2">
        <v>388</v>
      </c>
      <c r="B389" s="8" t="s">
        <v>10</v>
      </c>
      <c r="C389" s="10" t="s">
        <v>1449</v>
      </c>
      <c r="D389" s="3"/>
      <c r="E389" s="3">
        <v>20</v>
      </c>
      <c r="F389" s="3">
        <f t="shared" si="58"/>
        <v>704</v>
      </c>
      <c r="G389" s="3">
        <v>5457</v>
      </c>
      <c r="H389" s="5" t="s">
        <v>1450</v>
      </c>
    </row>
    <row r="390" spans="1:8" ht="21" x14ac:dyDescent="0.7">
      <c r="A390" s="2">
        <v>389</v>
      </c>
      <c r="B390" s="8" t="s">
        <v>10</v>
      </c>
      <c r="C390" s="10" t="s">
        <v>1451</v>
      </c>
      <c r="D390" s="3"/>
      <c r="E390" s="3">
        <v>80</v>
      </c>
      <c r="F390" s="3">
        <f t="shared" si="58"/>
        <v>624</v>
      </c>
      <c r="G390" s="3">
        <v>5458</v>
      </c>
      <c r="H390" s="5" t="s">
        <v>1450</v>
      </c>
    </row>
    <row r="391" spans="1:8" ht="21" x14ac:dyDescent="0.7">
      <c r="A391" s="2">
        <v>390</v>
      </c>
      <c r="B391" s="8" t="s">
        <v>10</v>
      </c>
      <c r="C391" s="10" t="s">
        <v>1455</v>
      </c>
      <c r="D391" s="3"/>
      <c r="E391" s="3">
        <v>7</v>
      </c>
      <c r="F391" s="3">
        <f t="shared" ref="F391:F396" si="59">F390-E391</f>
        <v>617</v>
      </c>
      <c r="G391" s="3" t="s">
        <v>1456</v>
      </c>
      <c r="H391" s="5" t="s">
        <v>55</v>
      </c>
    </row>
    <row r="392" spans="1:8" ht="21" x14ac:dyDescent="0.7">
      <c r="A392" s="2">
        <v>391</v>
      </c>
      <c r="B392" s="8" t="s">
        <v>10</v>
      </c>
      <c r="C392" s="10" t="s">
        <v>1452</v>
      </c>
      <c r="D392" s="3"/>
      <c r="E392" s="3">
        <v>1</v>
      </c>
      <c r="F392" s="3">
        <f t="shared" si="59"/>
        <v>616</v>
      </c>
      <c r="G392" s="3">
        <v>5459</v>
      </c>
      <c r="H392" s="5" t="s">
        <v>1457</v>
      </c>
    </row>
    <row r="393" spans="1:8" ht="21" x14ac:dyDescent="0.7">
      <c r="A393" s="2">
        <v>392</v>
      </c>
      <c r="B393" s="8" t="s">
        <v>10</v>
      </c>
      <c r="C393" s="10" t="s">
        <v>1455</v>
      </c>
      <c r="D393" s="3"/>
      <c r="E393" s="3">
        <v>1</v>
      </c>
      <c r="F393" s="3">
        <f t="shared" si="59"/>
        <v>615</v>
      </c>
      <c r="G393" s="3">
        <v>5461</v>
      </c>
      <c r="H393" s="5" t="s">
        <v>1458</v>
      </c>
    </row>
    <row r="394" spans="1:8" ht="21" x14ac:dyDescent="0.7">
      <c r="A394" s="2">
        <v>393</v>
      </c>
      <c r="B394" s="8" t="s">
        <v>10</v>
      </c>
      <c r="C394" s="10" t="s">
        <v>1459</v>
      </c>
      <c r="D394" s="3"/>
      <c r="E394" s="3">
        <v>6</v>
      </c>
      <c r="F394" s="3">
        <f t="shared" si="59"/>
        <v>609</v>
      </c>
      <c r="G394" s="3" t="s">
        <v>1460</v>
      </c>
      <c r="H394" s="5" t="s">
        <v>55</v>
      </c>
    </row>
    <row r="395" spans="1:8" ht="21" x14ac:dyDescent="0.7">
      <c r="A395" s="2">
        <v>394</v>
      </c>
      <c r="B395" s="8" t="s">
        <v>10</v>
      </c>
      <c r="C395" s="10" t="s">
        <v>1461</v>
      </c>
      <c r="D395" s="3"/>
      <c r="E395" s="3">
        <v>20</v>
      </c>
      <c r="F395" s="3">
        <f t="shared" si="59"/>
        <v>589</v>
      </c>
      <c r="G395" s="3" t="s">
        <v>1462</v>
      </c>
      <c r="H395" s="5" t="s">
        <v>55</v>
      </c>
    </row>
    <row r="396" spans="1:8" ht="21" x14ac:dyDescent="0.7">
      <c r="A396" s="2">
        <v>395</v>
      </c>
      <c r="B396" s="8" t="s">
        <v>10</v>
      </c>
      <c r="C396" s="10" t="s">
        <v>1463</v>
      </c>
      <c r="D396" s="3"/>
      <c r="E396" s="3">
        <v>4</v>
      </c>
      <c r="F396" s="3">
        <f t="shared" si="59"/>
        <v>585</v>
      </c>
      <c r="G396" s="3">
        <v>5468</v>
      </c>
      <c r="H396" s="5" t="s">
        <v>132</v>
      </c>
    </row>
    <row r="397" spans="1:8" ht="21" x14ac:dyDescent="0.7">
      <c r="A397" s="2">
        <v>396</v>
      </c>
      <c r="B397" s="8" t="s">
        <v>10</v>
      </c>
      <c r="C397" s="10" t="s">
        <v>1465</v>
      </c>
      <c r="D397" s="3"/>
      <c r="E397" s="3">
        <v>6</v>
      </c>
      <c r="F397" s="3">
        <f t="shared" ref="F397:F402" si="60">F396-E397</f>
        <v>579</v>
      </c>
      <c r="G397" s="3" t="s">
        <v>1466</v>
      </c>
      <c r="H397" s="5" t="s">
        <v>55</v>
      </c>
    </row>
    <row r="398" spans="1:8" ht="21" x14ac:dyDescent="0.7">
      <c r="A398" s="2">
        <v>397</v>
      </c>
      <c r="B398" s="8" t="s">
        <v>10</v>
      </c>
      <c r="C398" s="10" t="s">
        <v>1470</v>
      </c>
      <c r="D398" s="3"/>
      <c r="E398" s="3">
        <v>5</v>
      </c>
      <c r="F398" s="3">
        <f t="shared" si="60"/>
        <v>574</v>
      </c>
      <c r="G398" s="3" t="s">
        <v>1471</v>
      </c>
      <c r="H398" s="5" t="s">
        <v>1472</v>
      </c>
    </row>
    <row r="399" spans="1:8" ht="21" x14ac:dyDescent="0.7">
      <c r="A399" s="2">
        <v>398</v>
      </c>
      <c r="B399" s="8" t="s">
        <v>10</v>
      </c>
      <c r="C399" s="10" t="s">
        <v>1470</v>
      </c>
      <c r="D399" s="3"/>
      <c r="E399" s="3">
        <v>6</v>
      </c>
      <c r="F399" s="3">
        <f t="shared" si="60"/>
        <v>568</v>
      </c>
      <c r="G399" s="3" t="s">
        <v>1474</v>
      </c>
      <c r="H399" s="5" t="s">
        <v>55</v>
      </c>
    </row>
    <row r="400" spans="1:8" ht="21" x14ac:dyDescent="0.7">
      <c r="A400" s="2">
        <v>399</v>
      </c>
      <c r="B400" s="8" t="s">
        <v>10</v>
      </c>
      <c r="C400" s="10" t="s">
        <v>1477</v>
      </c>
      <c r="D400" s="3"/>
      <c r="E400" s="3">
        <v>2</v>
      </c>
      <c r="F400" s="3">
        <f t="shared" si="60"/>
        <v>566</v>
      </c>
      <c r="G400" s="3">
        <v>5478</v>
      </c>
      <c r="H400" s="5" t="s">
        <v>1478</v>
      </c>
    </row>
    <row r="401" spans="1:8" ht="21" x14ac:dyDescent="0.7">
      <c r="A401" s="2">
        <v>400</v>
      </c>
      <c r="B401" s="8" t="s">
        <v>10</v>
      </c>
      <c r="C401" s="10" t="s">
        <v>1479</v>
      </c>
      <c r="D401" s="3"/>
      <c r="E401" s="3">
        <v>1</v>
      </c>
      <c r="F401" s="3">
        <f t="shared" si="60"/>
        <v>565</v>
      </c>
      <c r="G401" s="3">
        <v>5485</v>
      </c>
      <c r="H401" s="5" t="s">
        <v>1443</v>
      </c>
    </row>
    <row r="402" spans="1:8" ht="21" x14ac:dyDescent="0.7">
      <c r="A402" s="2">
        <v>401</v>
      </c>
      <c r="B402" s="8" t="s">
        <v>10</v>
      </c>
      <c r="C402" s="10" t="s">
        <v>1481</v>
      </c>
      <c r="D402" s="3"/>
      <c r="E402" s="3">
        <v>2</v>
      </c>
      <c r="F402" s="3">
        <f t="shared" si="60"/>
        <v>563</v>
      </c>
      <c r="G402" s="3" t="s">
        <v>1482</v>
      </c>
      <c r="H402" s="5" t="s">
        <v>49</v>
      </c>
    </row>
    <row r="403" spans="1:8" ht="21" x14ac:dyDescent="0.7">
      <c r="A403" s="2">
        <v>402</v>
      </c>
      <c r="B403" s="8" t="s">
        <v>10</v>
      </c>
      <c r="C403" s="10" t="s">
        <v>1483</v>
      </c>
      <c r="D403" s="3"/>
      <c r="E403" s="3">
        <v>3</v>
      </c>
      <c r="F403" s="3">
        <f t="shared" ref="F403:F408" si="61">F402-E403</f>
        <v>560</v>
      </c>
      <c r="G403" s="3" t="s">
        <v>1484</v>
      </c>
      <c r="H403" s="5" t="s">
        <v>55</v>
      </c>
    </row>
    <row r="404" spans="1:8" ht="21" x14ac:dyDescent="0.7">
      <c r="A404" s="2">
        <v>403</v>
      </c>
      <c r="B404" s="8" t="s">
        <v>10</v>
      </c>
      <c r="C404" s="10" t="s">
        <v>1486</v>
      </c>
      <c r="D404" s="3"/>
      <c r="E404" s="3">
        <v>7</v>
      </c>
      <c r="F404" s="3">
        <f t="shared" si="61"/>
        <v>553</v>
      </c>
      <c r="G404" s="3" t="s">
        <v>1487</v>
      </c>
      <c r="H404" s="5" t="s">
        <v>55</v>
      </c>
    </row>
    <row r="405" spans="1:8" ht="21" x14ac:dyDescent="0.7">
      <c r="A405" s="2">
        <v>404</v>
      </c>
      <c r="B405" s="8" t="s">
        <v>10</v>
      </c>
      <c r="C405" s="10" t="s">
        <v>1489</v>
      </c>
      <c r="D405" s="3"/>
      <c r="E405" s="3">
        <v>1</v>
      </c>
      <c r="F405" s="3">
        <f t="shared" si="61"/>
        <v>552</v>
      </c>
      <c r="G405" s="3">
        <v>5499</v>
      </c>
      <c r="H405" s="5" t="s">
        <v>894</v>
      </c>
    </row>
    <row r="406" spans="1:8" ht="21" x14ac:dyDescent="0.7">
      <c r="A406" s="2">
        <v>405</v>
      </c>
      <c r="B406" s="8" t="s">
        <v>10</v>
      </c>
      <c r="C406" s="10" t="s">
        <v>1490</v>
      </c>
      <c r="D406" s="3"/>
      <c r="E406" s="3">
        <v>1</v>
      </c>
      <c r="F406" s="3">
        <f t="shared" si="61"/>
        <v>551</v>
      </c>
      <c r="G406" s="3">
        <v>5501</v>
      </c>
      <c r="H406" s="5" t="s">
        <v>1075</v>
      </c>
    </row>
    <row r="407" spans="1:8" ht="21" x14ac:dyDescent="0.7">
      <c r="A407" s="2">
        <v>406</v>
      </c>
      <c r="B407" s="8" t="s">
        <v>10</v>
      </c>
      <c r="C407" s="10" t="s">
        <v>1491</v>
      </c>
      <c r="D407" s="3"/>
      <c r="E407" s="3">
        <v>8</v>
      </c>
      <c r="F407" s="3">
        <f t="shared" si="61"/>
        <v>543</v>
      </c>
      <c r="G407" s="3">
        <v>5502</v>
      </c>
      <c r="H407" s="5" t="s">
        <v>850</v>
      </c>
    </row>
    <row r="408" spans="1:8" ht="21" x14ac:dyDescent="0.7">
      <c r="A408" s="2">
        <v>407</v>
      </c>
      <c r="B408" s="8" t="s">
        <v>10</v>
      </c>
      <c r="C408" s="10" t="s">
        <v>1493</v>
      </c>
      <c r="D408" s="3"/>
      <c r="E408" s="3">
        <v>4</v>
      </c>
      <c r="F408" s="3">
        <f t="shared" si="61"/>
        <v>539</v>
      </c>
      <c r="G408" s="3" t="s">
        <v>1494</v>
      </c>
      <c r="H408" s="5" t="s">
        <v>55</v>
      </c>
    </row>
    <row r="409" spans="1:8" ht="21" x14ac:dyDescent="0.7">
      <c r="A409" s="2">
        <v>408</v>
      </c>
      <c r="B409" s="8" t="s">
        <v>10</v>
      </c>
      <c r="C409" s="10" t="s">
        <v>1495</v>
      </c>
      <c r="D409" s="3"/>
      <c r="E409" s="3">
        <v>5</v>
      </c>
      <c r="F409" s="3">
        <f t="shared" ref="F409:F414" si="62">F408-E409</f>
        <v>534</v>
      </c>
      <c r="G409" s="3" t="s">
        <v>1496</v>
      </c>
      <c r="H409" s="5" t="s">
        <v>55</v>
      </c>
    </row>
    <row r="410" spans="1:8" ht="21" x14ac:dyDescent="0.7">
      <c r="A410" s="2">
        <v>409</v>
      </c>
      <c r="B410" s="8" t="s">
        <v>10</v>
      </c>
      <c r="C410" s="10" t="s">
        <v>1497</v>
      </c>
      <c r="D410" s="3"/>
      <c r="E410" s="3">
        <v>6</v>
      </c>
      <c r="F410" s="3">
        <f t="shared" si="62"/>
        <v>528</v>
      </c>
      <c r="G410" s="3" t="s">
        <v>1499</v>
      </c>
      <c r="H410" s="5" t="s">
        <v>55</v>
      </c>
    </row>
    <row r="411" spans="1:8" ht="21" x14ac:dyDescent="0.7">
      <c r="A411" s="2">
        <v>410</v>
      </c>
      <c r="B411" s="8" t="s">
        <v>10</v>
      </c>
      <c r="C411" s="10" t="s">
        <v>1500</v>
      </c>
      <c r="D411" s="3"/>
      <c r="E411" s="3">
        <v>8</v>
      </c>
      <c r="F411" s="3">
        <f t="shared" si="62"/>
        <v>520</v>
      </c>
      <c r="G411" s="3">
        <v>5505</v>
      </c>
      <c r="H411" s="5" t="s">
        <v>1501</v>
      </c>
    </row>
    <row r="412" spans="1:8" ht="21" x14ac:dyDescent="0.7">
      <c r="A412" s="2">
        <v>411</v>
      </c>
      <c r="B412" s="8" t="s">
        <v>10</v>
      </c>
      <c r="C412" s="10" t="s">
        <v>1503</v>
      </c>
      <c r="D412" s="3"/>
      <c r="E412" s="3">
        <v>20</v>
      </c>
      <c r="F412" s="3">
        <f t="shared" si="62"/>
        <v>500</v>
      </c>
      <c r="G412" s="3">
        <v>5511</v>
      </c>
      <c r="H412" s="5" t="s">
        <v>1232</v>
      </c>
    </row>
    <row r="413" spans="1:8" ht="21" x14ac:dyDescent="0.7">
      <c r="A413" s="2">
        <v>412</v>
      </c>
      <c r="B413" s="8" t="s">
        <v>10</v>
      </c>
      <c r="C413" s="10" t="s">
        <v>1506</v>
      </c>
      <c r="D413" s="3"/>
      <c r="E413" s="3">
        <v>5</v>
      </c>
      <c r="F413" s="3">
        <f t="shared" si="62"/>
        <v>495</v>
      </c>
      <c r="G413" s="3" t="s">
        <v>1507</v>
      </c>
      <c r="H413" s="5" t="s">
        <v>55</v>
      </c>
    </row>
    <row r="414" spans="1:8" ht="21" x14ac:dyDescent="0.7">
      <c r="A414" s="2">
        <v>413</v>
      </c>
      <c r="B414" s="8" t="s">
        <v>10</v>
      </c>
      <c r="C414" s="10" t="s">
        <v>1508</v>
      </c>
      <c r="D414" s="3"/>
      <c r="E414" s="3">
        <v>4</v>
      </c>
      <c r="F414" s="3">
        <f t="shared" si="62"/>
        <v>491</v>
      </c>
      <c r="G414" s="3" t="s">
        <v>1509</v>
      </c>
      <c r="H414" s="5" t="s">
        <v>55</v>
      </c>
    </row>
    <row r="415" spans="1:8" ht="21" x14ac:dyDescent="0.7">
      <c r="A415" s="2">
        <v>414</v>
      </c>
      <c r="B415" s="8" t="s">
        <v>10</v>
      </c>
      <c r="C415" s="10" t="s">
        <v>1508</v>
      </c>
      <c r="D415" s="3"/>
      <c r="E415" s="3">
        <v>2</v>
      </c>
      <c r="F415" s="3">
        <f t="shared" ref="F415:F420" si="63">F414-E415</f>
        <v>489</v>
      </c>
      <c r="G415" s="3" t="s">
        <v>1510</v>
      </c>
      <c r="H415" s="5" t="s">
        <v>49</v>
      </c>
    </row>
    <row r="416" spans="1:8" ht="21" x14ac:dyDescent="0.7">
      <c r="A416" s="2">
        <v>415</v>
      </c>
      <c r="B416" s="8" t="s">
        <v>10</v>
      </c>
      <c r="C416" s="10" t="s">
        <v>1512</v>
      </c>
      <c r="D416" s="3"/>
      <c r="E416" s="3">
        <v>4</v>
      </c>
      <c r="F416" s="3">
        <f t="shared" si="63"/>
        <v>485</v>
      </c>
      <c r="G416" s="3" t="s">
        <v>1515</v>
      </c>
      <c r="H416" s="5" t="s">
        <v>55</v>
      </c>
    </row>
    <row r="417" spans="1:8" ht="21" x14ac:dyDescent="0.7">
      <c r="A417" s="2">
        <v>416</v>
      </c>
      <c r="B417" s="8" t="s">
        <v>10</v>
      </c>
      <c r="C417" s="10" t="s">
        <v>1512</v>
      </c>
      <c r="D417" s="3"/>
      <c r="E417" s="3">
        <v>1</v>
      </c>
      <c r="F417" s="3">
        <f t="shared" si="63"/>
        <v>484</v>
      </c>
      <c r="G417" s="3">
        <v>5535</v>
      </c>
      <c r="H417" s="5" t="s">
        <v>1517</v>
      </c>
    </row>
    <row r="418" spans="1:8" ht="21" x14ac:dyDescent="0.7">
      <c r="A418" s="2">
        <v>417</v>
      </c>
      <c r="B418" s="8" t="s">
        <v>10</v>
      </c>
      <c r="C418" s="10" t="s">
        <v>1518</v>
      </c>
      <c r="D418" s="3"/>
      <c r="E418" s="3">
        <v>5</v>
      </c>
      <c r="F418" s="3">
        <f t="shared" si="63"/>
        <v>479</v>
      </c>
      <c r="G418" s="3" t="s">
        <v>1519</v>
      </c>
      <c r="H418" s="5" t="s">
        <v>55</v>
      </c>
    </row>
    <row r="419" spans="1:8" ht="21" x14ac:dyDescent="0.7">
      <c r="A419" s="2">
        <v>418</v>
      </c>
      <c r="B419" s="8" t="s">
        <v>10</v>
      </c>
      <c r="C419" s="10" t="s">
        <v>1520</v>
      </c>
      <c r="D419" s="3"/>
      <c r="E419" s="3">
        <v>3</v>
      </c>
      <c r="F419" s="3">
        <f t="shared" si="63"/>
        <v>476</v>
      </c>
      <c r="G419" s="3">
        <v>5543</v>
      </c>
      <c r="H419" s="5" t="s">
        <v>164</v>
      </c>
    </row>
    <row r="420" spans="1:8" ht="21" x14ac:dyDescent="0.7">
      <c r="A420" s="2">
        <v>419</v>
      </c>
      <c r="B420" s="8" t="s">
        <v>10</v>
      </c>
      <c r="C420" s="10" t="s">
        <v>1521</v>
      </c>
      <c r="D420" s="3"/>
      <c r="E420" s="3">
        <v>4</v>
      </c>
      <c r="F420" s="3">
        <f t="shared" si="63"/>
        <v>472</v>
      </c>
      <c r="G420" s="3" t="s">
        <v>1522</v>
      </c>
      <c r="H420" s="5" t="s">
        <v>55</v>
      </c>
    </row>
    <row r="421" spans="1:8" ht="21" x14ac:dyDescent="0.7">
      <c r="A421" s="2">
        <v>420</v>
      </c>
      <c r="B421" s="8" t="s">
        <v>10</v>
      </c>
      <c r="C421" s="10" t="s">
        <v>1521</v>
      </c>
      <c r="D421" s="3"/>
      <c r="E421" s="3">
        <v>1</v>
      </c>
      <c r="F421" s="3">
        <f t="shared" ref="F421:F426" si="64">F420-E421</f>
        <v>471</v>
      </c>
      <c r="G421" s="3">
        <v>5548</v>
      </c>
      <c r="H421" s="5" t="s">
        <v>1523</v>
      </c>
    </row>
    <row r="422" spans="1:8" ht="21" x14ac:dyDescent="0.7">
      <c r="A422" s="2">
        <v>421</v>
      </c>
      <c r="B422" s="8" t="s">
        <v>10</v>
      </c>
      <c r="C422" s="10" t="s">
        <v>1524</v>
      </c>
      <c r="D422" s="3"/>
      <c r="E422" s="3">
        <v>4</v>
      </c>
      <c r="F422" s="3">
        <f t="shared" si="64"/>
        <v>467</v>
      </c>
      <c r="G422" s="3" t="s">
        <v>1525</v>
      </c>
      <c r="H422" s="5" t="s">
        <v>49</v>
      </c>
    </row>
    <row r="423" spans="1:8" ht="21" x14ac:dyDescent="0.7">
      <c r="A423" s="2">
        <v>422</v>
      </c>
      <c r="B423" s="8" t="s">
        <v>10</v>
      </c>
      <c r="C423" s="10" t="s">
        <v>1524</v>
      </c>
      <c r="D423" s="3"/>
      <c r="E423" s="3">
        <v>1</v>
      </c>
      <c r="F423" s="3">
        <f t="shared" si="64"/>
        <v>466</v>
      </c>
      <c r="G423" s="3">
        <v>5550</v>
      </c>
      <c r="H423" s="5" t="s">
        <v>834</v>
      </c>
    </row>
    <row r="424" spans="1:8" ht="21" x14ac:dyDescent="0.7">
      <c r="A424" s="2">
        <v>423</v>
      </c>
      <c r="B424" s="8" t="s">
        <v>10</v>
      </c>
      <c r="C424" s="10" t="s">
        <v>1526</v>
      </c>
      <c r="D424" s="3"/>
      <c r="E424" s="3">
        <v>2</v>
      </c>
      <c r="F424" s="3">
        <f t="shared" si="64"/>
        <v>464</v>
      </c>
      <c r="G424" s="3" t="s">
        <v>1527</v>
      </c>
      <c r="H424" s="5" t="s">
        <v>55</v>
      </c>
    </row>
    <row r="425" spans="1:8" ht="21" x14ac:dyDescent="0.7">
      <c r="A425" s="2">
        <v>424</v>
      </c>
      <c r="B425" s="8" t="s">
        <v>10</v>
      </c>
      <c r="C425" s="10" t="s">
        <v>1528</v>
      </c>
      <c r="D425" s="3"/>
      <c r="E425" s="3">
        <v>11</v>
      </c>
      <c r="F425" s="3">
        <f t="shared" si="64"/>
        <v>453</v>
      </c>
      <c r="G425" s="3">
        <v>5553</v>
      </c>
      <c r="H425" s="5" t="s">
        <v>1390</v>
      </c>
    </row>
    <row r="426" spans="1:8" ht="21" x14ac:dyDescent="0.7">
      <c r="A426" s="2">
        <v>425</v>
      </c>
      <c r="B426" s="8" t="s">
        <v>10</v>
      </c>
      <c r="C426" s="10" t="s">
        <v>1533</v>
      </c>
      <c r="D426" s="3"/>
      <c r="E426" s="3">
        <v>1</v>
      </c>
      <c r="F426" s="3">
        <f t="shared" si="64"/>
        <v>452</v>
      </c>
      <c r="G426" s="3">
        <v>5556</v>
      </c>
      <c r="H426" s="5" t="s">
        <v>1075</v>
      </c>
    </row>
    <row r="427" spans="1:8" ht="21" x14ac:dyDescent="0.7">
      <c r="A427" s="2">
        <v>426</v>
      </c>
      <c r="B427" s="8" t="s">
        <v>10</v>
      </c>
      <c r="C427" s="10" t="s">
        <v>1534</v>
      </c>
      <c r="D427" s="3"/>
      <c r="E427" s="3">
        <v>2</v>
      </c>
      <c r="F427" s="3">
        <f>F426-E427</f>
        <v>450</v>
      </c>
      <c r="G427" s="3">
        <v>5557</v>
      </c>
      <c r="H427" s="5" t="s">
        <v>283</v>
      </c>
    </row>
    <row r="428" spans="1:8" ht="21" x14ac:dyDescent="0.7">
      <c r="A428" s="2">
        <v>427</v>
      </c>
      <c r="B428" s="8" t="s">
        <v>10</v>
      </c>
      <c r="C428" s="10" t="s">
        <v>1535</v>
      </c>
      <c r="D428" s="3"/>
      <c r="E428" s="3">
        <v>5</v>
      </c>
      <c r="F428" s="3">
        <f>F427-E428</f>
        <v>445</v>
      </c>
      <c r="G428" s="3" t="s">
        <v>1536</v>
      </c>
      <c r="H428" s="5" t="s">
        <v>55</v>
      </c>
    </row>
    <row r="429" spans="1:8" ht="21" x14ac:dyDescent="0.7">
      <c r="A429" s="2">
        <v>428</v>
      </c>
      <c r="B429" s="8" t="s">
        <v>10</v>
      </c>
      <c r="C429" s="10" t="s">
        <v>1537</v>
      </c>
      <c r="D429" s="3"/>
      <c r="E429" s="3">
        <v>15</v>
      </c>
      <c r="F429" s="3">
        <f>F428-E429</f>
        <v>430</v>
      </c>
      <c r="G429" s="3">
        <v>5560</v>
      </c>
      <c r="H429" s="5" t="s">
        <v>1390</v>
      </c>
    </row>
    <row r="430" spans="1:8" ht="21" x14ac:dyDescent="0.7">
      <c r="A430" s="2">
        <v>429</v>
      </c>
      <c r="B430" s="8" t="s">
        <v>10</v>
      </c>
      <c r="C430" s="10" t="s">
        <v>1538</v>
      </c>
      <c r="D430" s="3">
        <v>600</v>
      </c>
      <c r="E430" s="3"/>
      <c r="F430" s="3">
        <f>F429+D430</f>
        <v>1030</v>
      </c>
      <c r="G430" s="3"/>
      <c r="H430" s="25" t="s">
        <v>1539</v>
      </c>
    </row>
    <row r="431" spans="1:8" ht="21" x14ac:dyDescent="0.7">
      <c r="A431" s="2">
        <v>430</v>
      </c>
      <c r="B431" s="8" t="s">
        <v>10</v>
      </c>
      <c r="C431" s="10" t="s">
        <v>1538</v>
      </c>
      <c r="D431" s="3"/>
      <c r="E431" s="3">
        <v>5</v>
      </c>
      <c r="F431" s="3">
        <f t="shared" ref="F431:F436" si="65">F430-E431</f>
        <v>1025</v>
      </c>
      <c r="G431" s="3" t="s">
        <v>1541</v>
      </c>
      <c r="H431" s="5" t="s">
        <v>55</v>
      </c>
    </row>
    <row r="432" spans="1:8" ht="21" x14ac:dyDescent="0.7">
      <c r="A432" s="2">
        <v>431</v>
      </c>
      <c r="B432" s="8" t="s">
        <v>10</v>
      </c>
      <c r="C432" s="10" t="s">
        <v>1546</v>
      </c>
      <c r="D432" s="3"/>
      <c r="E432" s="3">
        <v>5</v>
      </c>
      <c r="F432" s="3">
        <f t="shared" si="65"/>
        <v>1020</v>
      </c>
      <c r="G432" s="3" t="s">
        <v>1547</v>
      </c>
      <c r="H432" s="5" t="s">
        <v>55</v>
      </c>
    </row>
    <row r="433" spans="1:8" ht="21" x14ac:dyDescent="0.7">
      <c r="A433" s="2">
        <v>432</v>
      </c>
      <c r="B433" s="8" t="s">
        <v>10</v>
      </c>
      <c r="C433" s="10" t="s">
        <v>1548</v>
      </c>
      <c r="D433" s="3"/>
      <c r="E433" s="3">
        <v>26</v>
      </c>
      <c r="F433" s="3">
        <f t="shared" si="65"/>
        <v>994</v>
      </c>
      <c r="G433" s="3" t="s">
        <v>1549</v>
      </c>
      <c r="H433" s="5" t="s">
        <v>55</v>
      </c>
    </row>
    <row r="434" spans="1:8" ht="21" x14ac:dyDescent="0.7">
      <c r="A434" s="2">
        <v>433</v>
      </c>
      <c r="B434" s="8" t="s">
        <v>10</v>
      </c>
      <c r="C434" s="10" t="s">
        <v>1550</v>
      </c>
      <c r="D434" s="3"/>
      <c r="E434" s="3">
        <v>2</v>
      </c>
      <c r="F434" s="3">
        <f t="shared" si="65"/>
        <v>992</v>
      </c>
      <c r="G434" s="3">
        <v>5565</v>
      </c>
      <c r="H434" s="5" t="s">
        <v>996</v>
      </c>
    </row>
    <row r="435" spans="1:8" ht="21" x14ac:dyDescent="0.7">
      <c r="A435" s="2">
        <v>434</v>
      </c>
      <c r="B435" s="8" t="s">
        <v>10</v>
      </c>
      <c r="C435" s="10" t="s">
        <v>1551</v>
      </c>
      <c r="D435" s="3"/>
      <c r="E435" s="3">
        <v>12</v>
      </c>
      <c r="F435" s="3">
        <f t="shared" si="65"/>
        <v>980</v>
      </c>
      <c r="G435" s="3" t="s">
        <v>1552</v>
      </c>
      <c r="H435" s="5" t="s">
        <v>55</v>
      </c>
    </row>
    <row r="436" spans="1:8" ht="21" x14ac:dyDescent="0.7">
      <c r="A436" s="2">
        <v>435</v>
      </c>
      <c r="B436" s="8" t="s">
        <v>10</v>
      </c>
      <c r="C436" s="10" t="s">
        <v>1551</v>
      </c>
      <c r="D436" s="3"/>
      <c r="E436" s="3">
        <v>5</v>
      </c>
      <c r="F436" s="3">
        <f t="shared" si="65"/>
        <v>975</v>
      </c>
      <c r="G436" s="3" t="s">
        <v>1553</v>
      </c>
      <c r="H436" s="5" t="s">
        <v>49</v>
      </c>
    </row>
    <row r="437" spans="1:8" ht="21" x14ac:dyDescent="0.7">
      <c r="A437" s="2">
        <v>436</v>
      </c>
      <c r="B437" s="8" t="s">
        <v>10</v>
      </c>
      <c r="C437" s="10" t="s">
        <v>1554</v>
      </c>
      <c r="D437" s="3"/>
      <c r="E437" s="3">
        <v>8</v>
      </c>
      <c r="F437" s="3">
        <f t="shared" ref="F437:F442" si="66">F436-E437</f>
        <v>967</v>
      </c>
      <c r="G437" s="3" t="s">
        <v>1555</v>
      </c>
      <c r="H437" s="5" t="s">
        <v>55</v>
      </c>
    </row>
    <row r="438" spans="1:8" ht="21" x14ac:dyDescent="0.7">
      <c r="A438" s="2">
        <v>437</v>
      </c>
      <c r="B438" s="8" t="s">
        <v>10</v>
      </c>
      <c r="C438" s="10" t="s">
        <v>1554</v>
      </c>
      <c r="D438" s="3"/>
      <c r="E438" s="3">
        <v>1</v>
      </c>
      <c r="F438" s="3">
        <f t="shared" si="66"/>
        <v>966</v>
      </c>
      <c r="G438" s="3">
        <v>5590</v>
      </c>
      <c r="H438" s="5" t="s">
        <v>66</v>
      </c>
    </row>
    <row r="439" spans="1:8" ht="21" x14ac:dyDescent="0.7">
      <c r="A439" s="2">
        <v>438</v>
      </c>
      <c r="B439" s="8" t="s">
        <v>10</v>
      </c>
      <c r="C439" s="10" t="s">
        <v>1560</v>
      </c>
      <c r="D439" s="3"/>
      <c r="E439" s="3">
        <v>1</v>
      </c>
      <c r="F439" s="3">
        <f t="shared" si="66"/>
        <v>965</v>
      </c>
      <c r="G439" s="3">
        <v>5614</v>
      </c>
      <c r="H439" s="5" t="s">
        <v>1561</v>
      </c>
    </row>
    <row r="440" spans="1:8" ht="21" x14ac:dyDescent="0.7">
      <c r="A440" s="2">
        <v>439</v>
      </c>
      <c r="B440" s="8" t="s">
        <v>10</v>
      </c>
      <c r="C440" s="10" t="s">
        <v>1563</v>
      </c>
      <c r="D440" s="3"/>
      <c r="E440" s="3">
        <v>5</v>
      </c>
      <c r="F440" s="3">
        <f t="shared" si="66"/>
        <v>960</v>
      </c>
      <c r="G440" s="3" t="s">
        <v>1564</v>
      </c>
      <c r="H440" s="5" t="s">
        <v>55</v>
      </c>
    </row>
    <row r="441" spans="1:8" ht="21" x14ac:dyDescent="0.7">
      <c r="A441" s="2">
        <v>440</v>
      </c>
      <c r="B441" s="8" t="s">
        <v>10</v>
      </c>
      <c r="C441" s="10" t="s">
        <v>1569</v>
      </c>
      <c r="D441" s="3"/>
      <c r="E441" s="3">
        <v>4</v>
      </c>
      <c r="F441" s="3">
        <f t="shared" si="66"/>
        <v>956</v>
      </c>
      <c r="G441" s="3" t="s">
        <v>1570</v>
      </c>
      <c r="H441" s="5" t="s">
        <v>55</v>
      </c>
    </row>
    <row r="442" spans="1:8" ht="21" x14ac:dyDescent="0.7">
      <c r="A442" s="2">
        <v>441</v>
      </c>
      <c r="B442" s="8" t="s">
        <v>10</v>
      </c>
      <c r="C442" s="10" t="s">
        <v>1573</v>
      </c>
      <c r="D442" s="3"/>
      <c r="E442" s="3">
        <v>20</v>
      </c>
      <c r="F442" s="3">
        <f t="shared" si="66"/>
        <v>936</v>
      </c>
      <c r="G442" s="3" t="s">
        <v>1574</v>
      </c>
      <c r="H442" s="5" t="s">
        <v>55</v>
      </c>
    </row>
    <row r="443" spans="1:8" ht="21" x14ac:dyDescent="0.7">
      <c r="A443" s="2">
        <v>442</v>
      </c>
      <c r="B443" s="8" t="s">
        <v>10</v>
      </c>
      <c r="C443" s="10" t="s">
        <v>1575</v>
      </c>
      <c r="D443" s="3"/>
      <c r="E443" s="3">
        <v>100</v>
      </c>
      <c r="F443" s="3">
        <f t="shared" ref="F443:F448" si="67">F442-E443</f>
        <v>836</v>
      </c>
      <c r="G443" s="3">
        <v>5627</v>
      </c>
      <c r="H443" s="5" t="s">
        <v>80</v>
      </c>
    </row>
    <row r="444" spans="1:8" ht="21" x14ac:dyDescent="0.7">
      <c r="A444" s="2">
        <v>443</v>
      </c>
      <c r="B444" s="8" t="s">
        <v>10</v>
      </c>
      <c r="C444" s="10" t="s">
        <v>1576</v>
      </c>
      <c r="D444" s="3"/>
      <c r="E444" s="3">
        <v>5</v>
      </c>
      <c r="F444" s="3">
        <f t="shared" si="67"/>
        <v>831</v>
      </c>
      <c r="G444" s="3" t="s">
        <v>1577</v>
      </c>
      <c r="H444" s="5" t="s">
        <v>55</v>
      </c>
    </row>
    <row r="445" spans="1:8" ht="21" x14ac:dyDescent="0.7">
      <c r="A445" s="2">
        <v>444</v>
      </c>
      <c r="B445" s="8" t="s">
        <v>10</v>
      </c>
      <c r="C445" s="10" t="s">
        <v>1581</v>
      </c>
      <c r="D445" s="3"/>
      <c r="E445" s="3">
        <v>3</v>
      </c>
      <c r="F445" s="3">
        <f t="shared" si="67"/>
        <v>828</v>
      </c>
      <c r="G445" s="3" t="s">
        <v>1582</v>
      </c>
      <c r="H445" s="5" t="s">
        <v>55</v>
      </c>
    </row>
    <row r="446" spans="1:8" ht="21" x14ac:dyDescent="0.7">
      <c r="A446" s="2">
        <v>445</v>
      </c>
      <c r="B446" s="8" t="s">
        <v>10</v>
      </c>
      <c r="C446" s="10" t="s">
        <v>1583</v>
      </c>
      <c r="D446" s="3"/>
      <c r="E446" s="3">
        <v>15</v>
      </c>
      <c r="F446" s="3">
        <f t="shared" si="67"/>
        <v>813</v>
      </c>
      <c r="G446" s="3" t="s">
        <v>1584</v>
      </c>
      <c r="H446" s="5" t="s">
        <v>55</v>
      </c>
    </row>
    <row r="447" spans="1:8" ht="21" x14ac:dyDescent="0.7">
      <c r="A447" s="2">
        <v>446</v>
      </c>
      <c r="B447" s="8" t="s">
        <v>10</v>
      </c>
      <c r="C447" s="10" t="s">
        <v>1586</v>
      </c>
      <c r="D447" s="3"/>
      <c r="E447" s="3">
        <v>20</v>
      </c>
      <c r="F447" s="3">
        <f t="shared" si="67"/>
        <v>793</v>
      </c>
      <c r="G447" s="3" t="s">
        <v>1587</v>
      </c>
      <c r="H447" s="5" t="s">
        <v>49</v>
      </c>
    </row>
    <row r="448" spans="1:8" ht="21" x14ac:dyDescent="0.7">
      <c r="A448" s="2">
        <v>447</v>
      </c>
      <c r="B448" s="8" t="s">
        <v>10</v>
      </c>
      <c r="C448" s="10" t="s">
        <v>1588</v>
      </c>
      <c r="D448" s="3"/>
      <c r="E448" s="3">
        <v>20</v>
      </c>
      <c r="F448" s="3">
        <f t="shared" si="67"/>
        <v>773</v>
      </c>
      <c r="G448" s="3">
        <v>5667</v>
      </c>
      <c r="H448" s="5" t="s">
        <v>1589</v>
      </c>
    </row>
    <row r="449" spans="1:8" ht="21" x14ac:dyDescent="0.7">
      <c r="A449" s="2">
        <v>448</v>
      </c>
      <c r="B449" s="8" t="s">
        <v>10</v>
      </c>
      <c r="C449" s="10" t="s">
        <v>1592</v>
      </c>
      <c r="D449" s="3"/>
      <c r="E449" s="3">
        <v>1</v>
      </c>
      <c r="F449" s="3">
        <f t="shared" ref="F449:F454" si="68">F448-E449</f>
        <v>772</v>
      </c>
      <c r="G449" s="3">
        <v>5669</v>
      </c>
      <c r="H449" s="5" t="s">
        <v>9</v>
      </c>
    </row>
    <row r="450" spans="1:8" ht="21" x14ac:dyDescent="0.7">
      <c r="A450" s="2">
        <v>449</v>
      </c>
      <c r="B450" s="8" t="s">
        <v>10</v>
      </c>
      <c r="C450" s="10" t="s">
        <v>1592</v>
      </c>
      <c r="D450" s="3"/>
      <c r="E450" s="3">
        <v>1</v>
      </c>
      <c r="F450" s="3">
        <f t="shared" si="68"/>
        <v>771</v>
      </c>
      <c r="G450" s="3">
        <v>5670</v>
      </c>
      <c r="H450" s="5" t="s">
        <v>1593</v>
      </c>
    </row>
    <row r="451" spans="1:8" ht="21" x14ac:dyDescent="0.7">
      <c r="A451" s="2">
        <v>450</v>
      </c>
      <c r="B451" s="8" t="s">
        <v>10</v>
      </c>
      <c r="C451" s="10" t="s">
        <v>1597</v>
      </c>
      <c r="D451" s="3"/>
      <c r="E451" s="3">
        <v>1</v>
      </c>
      <c r="F451" s="3">
        <f t="shared" si="68"/>
        <v>770</v>
      </c>
      <c r="G451" s="3">
        <v>5672</v>
      </c>
      <c r="H451" s="5" t="s">
        <v>1598</v>
      </c>
    </row>
    <row r="452" spans="1:8" ht="21" x14ac:dyDescent="0.7">
      <c r="A452" s="2">
        <v>451</v>
      </c>
      <c r="B452" s="8" t="s">
        <v>10</v>
      </c>
      <c r="C452" s="10" t="s">
        <v>1597</v>
      </c>
      <c r="D452" s="3"/>
      <c r="E452" s="3">
        <v>1</v>
      </c>
      <c r="F452" s="3">
        <f t="shared" si="68"/>
        <v>769</v>
      </c>
      <c r="G452" s="3">
        <v>5673</v>
      </c>
      <c r="H452" s="5" t="s">
        <v>1194</v>
      </c>
    </row>
    <row r="453" spans="1:8" ht="21" x14ac:dyDescent="0.7">
      <c r="A453" s="2">
        <v>452</v>
      </c>
      <c r="B453" s="8" t="s">
        <v>10</v>
      </c>
      <c r="C453" s="10" t="s">
        <v>1599</v>
      </c>
      <c r="D453" s="3"/>
      <c r="E453" s="3">
        <v>5</v>
      </c>
      <c r="F453" s="3">
        <f t="shared" si="68"/>
        <v>764</v>
      </c>
      <c r="G453" s="3">
        <v>5676</v>
      </c>
      <c r="H453" s="5" t="s">
        <v>46</v>
      </c>
    </row>
    <row r="454" spans="1:8" ht="21" x14ac:dyDescent="0.7">
      <c r="A454" s="2">
        <v>453</v>
      </c>
      <c r="B454" s="8" t="s">
        <v>10</v>
      </c>
      <c r="C454" s="10" t="s">
        <v>1600</v>
      </c>
      <c r="D454" s="3"/>
      <c r="E454" s="3">
        <v>5</v>
      </c>
      <c r="F454" s="3">
        <f t="shared" si="68"/>
        <v>759</v>
      </c>
      <c r="G454" s="3" t="s">
        <v>1601</v>
      </c>
      <c r="H454" s="5" t="s">
        <v>55</v>
      </c>
    </row>
    <row r="455" spans="1:8" ht="21" x14ac:dyDescent="0.7">
      <c r="A455" s="2">
        <v>454</v>
      </c>
      <c r="B455" s="8" t="s">
        <v>10</v>
      </c>
      <c r="C455" s="10" t="s">
        <v>1600</v>
      </c>
      <c r="D455" s="3"/>
      <c r="E455" s="3">
        <v>2</v>
      </c>
      <c r="F455" s="3">
        <f t="shared" ref="F455:F460" si="69">F454-E455</f>
        <v>757</v>
      </c>
      <c r="G455" s="3">
        <v>5679</v>
      </c>
      <c r="H455" s="5" t="s">
        <v>1075</v>
      </c>
    </row>
    <row r="456" spans="1:8" ht="21" x14ac:dyDescent="0.7">
      <c r="A456" s="2">
        <v>455</v>
      </c>
      <c r="B456" s="8" t="s">
        <v>10</v>
      </c>
      <c r="C456" s="10" t="s">
        <v>1602</v>
      </c>
      <c r="D456" s="3"/>
      <c r="E456" s="3">
        <v>1</v>
      </c>
      <c r="F456" s="3">
        <f t="shared" si="69"/>
        <v>756</v>
      </c>
      <c r="G456" s="3">
        <v>5681</v>
      </c>
      <c r="H456" s="5" t="s">
        <v>714</v>
      </c>
    </row>
    <row r="457" spans="1:8" ht="21" x14ac:dyDescent="0.7">
      <c r="A457" s="2">
        <v>456</v>
      </c>
      <c r="B457" s="8" t="s">
        <v>10</v>
      </c>
      <c r="C457" s="10" t="s">
        <v>1603</v>
      </c>
      <c r="D457" s="3"/>
      <c r="E457" s="3">
        <v>10</v>
      </c>
      <c r="F457" s="3">
        <f t="shared" si="69"/>
        <v>746</v>
      </c>
      <c r="G457" s="3">
        <v>5682</v>
      </c>
      <c r="H457" s="5" t="s">
        <v>43</v>
      </c>
    </row>
    <row r="458" spans="1:8" ht="21" x14ac:dyDescent="0.7">
      <c r="A458" s="2">
        <v>457</v>
      </c>
      <c r="B458" s="8" t="s">
        <v>10</v>
      </c>
      <c r="C458" s="10" t="s">
        <v>1605</v>
      </c>
      <c r="D458" s="3"/>
      <c r="E458" s="3">
        <v>3</v>
      </c>
      <c r="F458" s="3">
        <f t="shared" si="69"/>
        <v>743</v>
      </c>
      <c r="G458" s="3">
        <v>5708</v>
      </c>
      <c r="H458" s="5" t="s">
        <v>149</v>
      </c>
    </row>
    <row r="459" spans="1:8" ht="21" x14ac:dyDescent="0.7">
      <c r="A459" s="2">
        <v>458</v>
      </c>
      <c r="B459" s="8" t="s">
        <v>10</v>
      </c>
      <c r="C459" s="10" t="s">
        <v>1611</v>
      </c>
      <c r="D459" s="3"/>
      <c r="E459" s="3">
        <v>3</v>
      </c>
      <c r="F459" s="3">
        <f t="shared" si="69"/>
        <v>740</v>
      </c>
      <c r="G459" s="3" t="s">
        <v>1612</v>
      </c>
      <c r="H459" s="5" t="s">
        <v>55</v>
      </c>
    </row>
    <row r="460" spans="1:8" ht="21" x14ac:dyDescent="0.7">
      <c r="A460" s="2">
        <v>459</v>
      </c>
      <c r="B460" s="8" t="s">
        <v>10</v>
      </c>
      <c r="C460" s="10" t="s">
        <v>1617</v>
      </c>
      <c r="D460" s="3"/>
      <c r="E460" s="3">
        <v>10</v>
      </c>
      <c r="F460" s="3">
        <f t="shared" si="69"/>
        <v>730</v>
      </c>
      <c r="G460" s="3" t="s">
        <v>1618</v>
      </c>
      <c r="H460" s="5" t="s">
        <v>55</v>
      </c>
    </row>
    <row r="461" spans="1:8" ht="21" x14ac:dyDescent="0.7">
      <c r="A461" s="2">
        <v>460</v>
      </c>
      <c r="B461" s="8" t="s">
        <v>10</v>
      </c>
      <c r="C461" s="10" t="s">
        <v>1622</v>
      </c>
      <c r="D461" s="3"/>
      <c r="E461" s="3">
        <v>2</v>
      </c>
      <c r="F461" s="3">
        <f t="shared" ref="F461:F466" si="70">F460-E461</f>
        <v>728</v>
      </c>
      <c r="G461" s="3" t="s">
        <v>1623</v>
      </c>
      <c r="H461" s="5" t="s">
        <v>55</v>
      </c>
    </row>
    <row r="462" spans="1:8" ht="21" x14ac:dyDescent="0.7">
      <c r="A462" s="2">
        <v>461</v>
      </c>
      <c r="B462" s="8" t="s">
        <v>10</v>
      </c>
      <c r="C462" s="10" t="s">
        <v>1624</v>
      </c>
      <c r="D462" s="3"/>
      <c r="E462" s="3">
        <v>9</v>
      </c>
      <c r="F462" s="3">
        <f t="shared" si="70"/>
        <v>719</v>
      </c>
      <c r="G462" s="3">
        <v>5718</v>
      </c>
      <c r="H462" s="5" t="s">
        <v>1390</v>
      </c>
    </row>
    <row r="463" spans="1:8" ht="21" x14ac:dyDescent="0.7">
      <c r="A463" s="2">
        <v>462</v>
      </c>
      <c r="B463" s="8" t="s">
        <v>10</v>
      </c>
      <c r="C463" s="10" t="s">
        <v>1625</v>
      </c>
      <c r="D463" s="3"/>
      <c r="E463" s="3">
        <v>2</v>
      </c>
      <c r="F463" s="3">
        <f t="shared" si="70"/>
        <v>717</v>
      </c>
      <c r="G463" s="3">
        <v>5719</v>
      </c>
      <c r="H463" s="5" t="s">
        <v>1598</v>
      </c>
    </row>
    <row r="464" spans="1:8" ht="21" x14ac:dyDescent="0.7">
      <c r="A464" s="2">
        <v>463</v>
      </c>
      <c r="B464" s="8" t="s">
        <v>10</v>
      </c>
      <c r="C464" s="10" t="s">
        <v>1626</v>
      </c>
      <c r="D464" s="3"/>
      <c r="E464" s="3">
        <v>3</v>
      </c>
      <c r="F464" s="3">
        <f t="shared" si="70"/>
        <v>714</v>
      </c>
      <c r="G464" s="3" t="s">
        <v>1627</v>
      </c>
      <c r="H464" s="5" t="s">
        <v>55</v>
      </c>
    </row>
    <row r="465" spans="1:8" ht="21" customHeight="1" x14ac:dyDescent="0.7">
      <c r="A465" s="2">
        <v>464</v>
      </c>
      <c r="B465" s="8" t="s">
        <v>10</v>
      </c>
      <c r="C465" s="10" t="s">
        <v>1628</v>
      </c>
      <c r="D465" s="3"/>
      <c r="E465" s="3">
        <v>1</v>
      </c>
      <c r="F465" s="3">
        <f t="shared" si="70"/>
        <v>713</v>
      </c>
      <c r="G465" s="3">
        <v>5721</v>
      </c>
      <c r="H465" s="5" t="s">
        <v>1313</v>
      </c>
    </row>
    <row r="466" spans="1:8" ht="21" x14ac:dyDescent="0.7">
      <c r="A466" s="2">
        <v>465</v>
      </c>
      <c r="B466" s="8" t="s">
        <v>10</v>
      </c>
      <c r="C466" s="10" t="s">
        <v>1629</v>
      </c>
      <c r="D466" s="3"/>
      <c r="E466" s="3">
        <v>6</v>
      </c>
      <c r="F466" s="3">
        <f t="shared" si="70"/>
        <v>707</v>
      </c>
      <c r="G466" s="3" t="s">
        <v>1630</v>
      </c>
      <c r="H466" s="5" t="s">
        <v>55</v>
      </c>
    </row>
    <row r="467" spans="1:8" ht="21" x14ac:dyDescent="0.7">
      <c r="A467" s="2">
        <v>466</v>
      </c>
      <c r="B467" s="8" t="s">
        <v>10</v>
      </c>
      <c r="C467" s="10" t="s">
        <v>1629</v>
      </c>
      <c r="D467" s="3"/>
      <c r="E467" s="3">
        <v>3</v>
      </c>
      <c r="F467" s="3">
        <f t="shared" ref="F467:F472" si="71">F466-E467</f>
        <v>704</v>
      </c>
      <c r="G467" s="3" t="s">
        <v>1631</v>
      </c>
      <c r="H467" s="5" t="s">
        <v>55</v>
      </c>
    </row>
    <row r="468" spans="1:8" ht="21" x14ac:dyDescent="0.7">
      <c r="A468" s="2">
        <v>467</v>
      </c>
      <c r="B468" s="8" t="s">
        <v>10</v>
      </c>
      <c r="C468" s="10" t="s">
        <v>1629</v>
      </c>
      <c r="D468" s="3"/>
      <c r="E468" s="3">
        <v>6</v>
      </c>
      <c r="F468" s="3">
        <f t="shared" si="71"/>
        <v>698</v>
      </c>
      <c r="G468" s="3" t="s">
        <v>1632</v>
      </c>
      <c r="H468" s="5" t="s">
        <v>55</v>
      </c>
    </row>
    <row r="469" spans="1:8" ht="21" x14ac:dyDescent="0.7">
      <c r="A469" s="2">
        <v>468</v>
      </c>
      <c r="B469" s="8" t="s">
        <v>10</v>
      </c>
      <c r="C469" s="10" t="s">
        <v>1633</v>
      </c>
      <c r="D469" s="3"/>
      <c r="E469" s="3">
        <v>2</v>
      </c>
      <c r="F469" s="3">
        <f t="shared" si="71"/>
        <v>696</v>
      </c>
      <c r="G469" s="3" t="s">
        <v>1634</v>
      </c>
      <c r="H469" s="5" t="s">
        <v>55</v>
      </c>
    </row>
    <row r="470" spans="1:8" ht="21" x14ac:dyDescent="0.7">
      <c r="A470" s="2">
        <v>469</v>
      </c>
      <c r="B470" s="8" t="s">
        <v>10</v>
      </c>
      <c r="C470" s="10" t="s">
        <v>1633</v>
      </c>
      <c r="D470" s="3"/>
      <c r="E470" s="3">
        <v>2</v>
      </c>
      <c r="F470" s="3">
        <f t="shared" si="71"/>
        <v>694</v>
      </c>
      <c r="G470" s="3">
        <v>5724</v>
      </c>
      <c r="H470" s="5" t="s">
        <v>149</v>
      </c>
    </row>
    <row r="471" spans="1:8" ht="21" x14ac:dyDescent="0.7">
      <c r="A471" s="2">
        <v>470</v>
      </c>
      <c r="B471" s="8" t="s">
        <v>10</v>
      </c>
      <c r="C471" s="10" t="s">
        <v>1635</v>
      </c>
      <c r="D471" s="3"/>
      <c r="E471" s="3">
        <v>3</v>
      </c>
      <c r="F471" s="3">
        <f t="shared" si="71"/>
        <v>691</v>
      </c>
      <c r="G471" s="3" t="s">
        <v>1636</v>
      </c>
      <c r="H471" s="5" t="s">
        <v>55</v>
      </c>
    </row>
    <row r="472" spans="1:8" ht="21" x14ac:dyDescent="0.7">
      <c r="A472" s="2">
        <v>471</v>
      </c>
      <c r="B472" s="8" t="s">
        <v>10</v>
      </c>
      <c r="C472" s="10" t="s">
        <v>1639</v>
      </c>
      <c r="D472" s="3"/>
      <c r="E472" s="3">
        <v>86</v>
      </c>
      <c r="F472" s="3">
        <f t="shared" si="71"/>
        <v>605</v>
      </c>
      <c r="G472" s="3">
        <v>5728</v>
      </c>
      <c r="H472" s="5" t="s">
        <v>434</v>
      </c>
    </row>
    <row r="473" spans="1:8" ht="21" x14ac:dyDescent="0.7">
      <c r="A473" s="2">
        <v>472</v>
      </c>
      <c r="B473" s="8" t="s">
        <v>10</v>
      </c>
      <c r="C473" s="10" t="s">
        <v>1639</v>
      </c>
      <c r="D473" s="3"/>
      <c r="E473" s="3">
        <v>1</v>
      </c>
      <c r="F473" s="3">
        <f t="shared" ref="F473:F478" si="72">F472-E473</f>
        <v>604</v>
      </c>
      <c r="G473" s="3">
        <v>5730</v>
      </c>
      <c r="H473" s="5" t="s">
        <v>1640</v>
      </c>
    </row>
    <row r="474" spans="1:8" ht="21" x14ac:dyDescent="0.7">
      <c r="A474" s="2">
        <v>473</v>
      </c>
      <c r="B474" s="8" t="s">
        <v>10</v>
      </c>
      <c r="C474" s="10" t="s">
        <v>1641</v>
      </c>
      <c r="D474" s="3"/>
      <c r="E474" s="3">
        <v>13</v>
      </c>
      <c r="F474" s="3">
        <f t="shared" si="72"/>
        <v>591</v>
      </c>
      <c r="G474" s="3" t="s">
        <v>1642</v>
      </c>
      <c r="H474" s="5" t="s">
        <v>55</v>
      </c>
    </row>
    <row r="475" spans="1:8" ht="21" x14ac:dyDescent="0.7">
      <c r="A475" s="2">
        <v>474</v>
      </c>
      <c r="B475" s="8" t="s">
        <v>10</v>
      </c>
      <c r="C475" s="10" t="s">
        <v>1643</v>
      </c>
      <c r="D475" s="3"/>
      <c r="E475" s="3">
        <v>30</v>
      </c>
      <c r="F475" s="3">
        <f t="shared" si="72"/>
        <v>561</v>
      </c>
      <c r="G475" s="3">
        <v>5735</v>
      </c>
      <c r="H475" s="5" t="s">
        <v>704</v>
      </c>
    </row>
    <row r="476" spans="1:8" ht="21" x14ac:dyDescent="0.7">
      <c r="A476" s="2">
        <v>475</v>
      </c>
      <c r="B476" s="8" t="s">
        <v>10</v>
      </c>
      <c r="C476" s="10" t="s">
        <v>1649</v>
      </c>
      <c r="D476" s="3"/>
      <c r="E476" s="3">
        <v>2</v>
      </c>
      <c r="F476" s="3">
        <f t="shared" si="72"/>
        <v>559</v>
      </c>
      <c r="G476" s="3" t="s">
        <v>1650</v>
      </c>
      <c r="H476" s="5" t="s">
        <v>55</v>
      </c>
    </row>
    <row r="477" spans="1:8" ht="21" x14ac:dyDescent="0.7">
      <c r="A477" s="2">
        <v>476</v>
      </c>
      <c r="B477" s="8" t="s">
        <v>10</v>
      </c>
      <c r="C477" s="10" t="s">
        <v>1649</v>
      </c>
      <c r="D477" s="3"/>
      <c r="E477" s="3">
        <v>4</v>
      </c>
      <c r="F477" s="3">
        <f t="shared" si="72"/>
        <v>555</v>
      </c>
      <c r="G477" s="3" t="s">
        <v>1651</v>
      </c>
      <c r="H477" s="5" t="s">
        <v>55</v>
      </c>
    </row>
    <row r="478" spans="1:8" ht="21" x14ac:dyDescent="0.7">
      <c r="A478" s="2">
        <v>477</v>
      </c>
      <c r="B478" s="8" t="s">
        <v>10</v>
      </c>
      <c r="C478" s="10" t="s">
        <v>1654</v>
      </c>
      <c r="D478" s="3"/>
      <c r="E478" s="3">
        <v>10</v>
      </c>
      <c r="F478" s="3">
        <f t="shared" si="72"/>
        <v>545</v>
      </c>
      <c r="G478" s="3">
        <v>5742</v>
      </c>
      <c r="H478" s="5" t="s">
        <v>1395</v>
      </c>
    </row>
    <row r="479" spans="1:8" ht="21" x14ac:dyDescent="0.7">
      <c r="A479" s="2">
        <v>478</v>
      </c>
      <c r="B479" s="8" t="s">
        <v>10</v>
      </c>
      <c r="C479" s="10" t="s">
        <v>1655</v>
      </c>
      <c r="D479" s="3"/>
      <c r="E479" s="3">
        <v>1</v>
      </c>
      <c r="F479" s="3">
        <f t="shared" ref="F479:F484" si="73">F478-E479</f>
        <v>544</v>
      </c>
      <c r="G479" s="3">
        <v>5747</v>
      </c>
      <c r="H479" s="5" t="s">
        <v>1656</v>
      </c>
    </row>
    <row r="480" spans="1:8" ht="21" x14ac:dyDescent="0.7">
      <c r="A480" s="2">
        <v>479</v>
      </c>
      <c r="B480" s="8" t="s">
        <v>10</v>
      </c>
      <c r="C480" s="10" t="s">
        <v>1655</v>
      </c>
      <c r="D480" s="3"/>
      <c r="E480" s="3">
        <v>1</v>
      </c>
      <c r="F480" s="3">
        <f t="shared" si="73"/>
        <v>543</v>
      </c>
      <c r="G480" s="3">
        <v>5748</v>
      </c>
      <c r="H480" s="5" t="s">
        <v>1205</v>
      </c>
    </row>
    <row r="481" spans="1:8" ht="21" x14ac:dyDescent="0.7">
      <c r="A481" s="2">
        <v>480</v>
      </c>
      <c r="B481" s="8" t="s">
        <v>10</v>
      </c>
      <c r="C481" s="10" t="s">
        <v>1657</v>
      </c>
      <c r="D481" s="3"/>
      <c r="E481" s="3">
        <v>25</v>
      </c>
      <c r="F481" s="3">
        <f t="shared" si="73"/>
        <v>518</v>
      </c>
      <c r="G481" s="3">
        <v>5751</v>
      </c>
      <c r="H481" s="5" t="s">
        <v>1660</v>
      </c>
    </row>
    <row r="482" spans="1:8" ht="21" x14ac:dyDescent="0.7">
      <c r="A482" s="2">
        <v>481</v>
      </c>
      <c r="B482" s="8" t="s">
        <v>10</v>
      </c>
      <c r="C482" s="10" t="s">
        <v>1661</v>
      </c>
      <c r="D482" s="3"/>
      <c r="E482" s="3">
        <v>4</v>
      </c>
      <c r="F482" s="3">
        <f t="shared" si="73"/>
        <v>514</v>
      </c>
      <c r="G482" s="3">
        <v>5755</v>
      </c>
      <c r="H482" s="5" t="s">
        <v>549</v>
      </c>
    </row>
    <row r="483" spans="1:8" ht="21" x14ac:dyDescent="0.7">
      <c r="A483" s="2">
        <v>482</v>
      </c>
      <c r="B483" s="8" t="s">
        <v>10</v>
      </c>
      <c r="C483" s="10" t="s">
        <v>1661</v>
      </c>
      <c r="D483" s="3"/>
      <c r="E483" s="3">
        <v>4</v>
      </c>
      <c r="F483" s="3">
        <f t="shared" si="73"/>
        <v>510</v>
      </c>
      <c r="G483" s="3" t="s">
        <v>1663</v>
      </c>
      <c r="H483" s="5" t="s">
        <v>55</v>
      </c>
    </row>
    <row r="484" spans="1:8" ht="21" x14ac:dyDescent="0.7">
      <c r="A484" s="2">
        <v>483</v>
      </c>
      <c r="B484" s="8" t="s">
        <v>10</v>
      </c>
      <c r="C484" s="10" t="s">
        <v>1664</v>
      </c>
      <c r="D484" s="3"/>
      <c r="E484" s="3">
        <v>3</v>
      </c>
      <c r="F484" s="3">
        <f t="shared" si="73"/>
        <v>507</v>
      </c>
      <c r="G484" s="3" t="s">
        <v>1665</v>
      </c>
      <c r="H484" s="5" t="s">
        <v>55</v>
      </c>
    </row>
    <row r="485" spans="1:8" ht="21" x14ac:dyDescent="0.7">
      <c r="A485" s="2">
        <v>484</v>
      </c>
      <c r="B485" s="8" t="s">
        <v>10</v>
      </c>
      <c r="C485" s="10" t="s">
        <v>1666</v>
      </c>
      <c r="D485" s="3"/>
      <c r="E485" s="3">
        <v>1</v>
      </c>
      <c r="F485" s="3">
        <f t="shared" ref="F485:F490" si="74">F484-E485</f>
        <v>506</v>
      </c>
      <c r="G485" s="3">
        <v>5767</v>
      </c>
      <c r="H485" s="5" t="s">
        <v>66</v>
      </c>
    </row>
    <row r="486" spans="1:8" ht="21" x14ac:dyDescent="0.7">
      <c r="A486" s="2">
        <v>485</v>
      </c>
      <c r="B486" s="8" t="s">
        <v>10</v>
      </c>
      <c r="C486" s="10" t="s">
        <v>1672</v>
      </c>
      <c r="D486" s="3"/>
      <c r="E486" s="3">
        <v>30</v>
      </c>
      <c r="F486" s="3">
        <f t="shared" si="74"/>
        <v>476</v>
      </c>
      <c r="G486" s="3">
        <v>5770</v>
      </c>
      <c r="H486" s="5" t="s">
        <v>1247</v>
      </c>
    </row>
    <row r="487" spans="1:8" ht="21" x14ac:dyDescent="0.7">
      <c r="A487" s="2">
        <v>486</v>
      </c>
      <c r="B487" s="8" t="s">
        <v>10</v>
      </c>
      <c r="C487" s="10" t="s">
        <v>1672</v>
      </c>
      <c r="D487" s="3"/>
      <c r="E487" s="3">
        <v>3</v>
      </c>
      <c r="F487" s="3">
        <f t="shared" si="74"/>
        <v>473</v>
      </c>
      <c r="G487" s="3">
        <v>5771</v>
      </c>
      <c r="H487" s="5" t="s">
        <v>1443</v>
      </c>
    </row>
    <row r="488" spans="1:8" ht="21" x14ac:dyDescent="0.7">
      <c r="A488" s="2">
        <v>487</v>
      </c>
      <c r="B488" s="8" t="s">
        <v>10</v>
      </c>
      <c r="C488" s="10" t="s">
        <v>1670</v>
      </c>
      <c r="D488" s="3"/>
      <c r="E488" s="3">
        <v>100</v>
      </c>
      <c r="F488" s="3">
        <f t="shared" si="74"/>
        <v>373</v>
      </c>
      <c r="G488" s="3">
        <v>5775</v>
      </c>
      <c r="H488" s="5" t="s">
        <v>1673</v>
      </c>
    </row>
    <row r="489" spans="1:8" ht="21" x14ac:dyDescent="0.7">
      <c r="A489" s="2">
        <v>488</v>
      </c>
      <c r="B489" s="8" t="s">
        <v>10</v>
      </c>
      <c r="C489" s="10" t="s">
        <v>1676</v>
      </c>
      <c r="D489" s="3"/>
      <c r="E489" s="3">
        <v>3</v>
      </c>
      <c r="F489" s="3">
        <f t="shared" si="74"/>
        <v>370</v>
      </c>
      <c r="G489" s="3">
        <v>5778</v>
      </c>
      <c r="H489" s="5" t="s">
        <v>66</v>
      </c>
    </row>
    <row r="490" spans="1:8" ht="21" customHeight="1" x14ac:dyDescent="0.7">
      <c r="A490" s="2">
        <v>489</v>
      </c>
      <c r="B490" s="8" t="s">
        <v>10</v>
      </c>
      <c r="C490" s="10" t="s">
        <v>1676</v>
      </c>
      <c r="D490" s="3"/>
      <c r="E490" s="3">
        <v>2</v>
      </c>
      <c r="F490" s="3">
        <f t="shared" si="74"/>
        <v>368</v>
      </c>
      <c r="G490" s="3">
        <v>5779</v>
      </c>
      <c r="H490" s="5" t="s">
        <v>1677</v>
      </c>
    </row>
    <row r="491" spans="1:8" ht="21" x14ac:dyDescent="0.7">
      <c r="A491" s="2">
        <v>490</v>
      </c>
      <c r="B491" s="8" t="s">
        <v>10</v>
      </c>
      <c r="C491" s="10" t="s">
        <v>1678</v>
      </c>
      <c r="D491" s="3"/>
      <c r="E491" s="3">
        <v>8</v>
      </c>
      <c r="F491" s="3">
        <f t="shared" ref="F491:F496" si="75">F490-E491</f>
        <v>360</v>
      </c>
      <c r="G491" s="3" t="s">
        <v>1679</v>
      </c>
      <c r="H491" s="5" t="s">
        <v>55</v>
      </c>
    </row>
    <row r="492" spans="1:8" ht="21" x14ac:dyDescent="0.7">
      <c r="A492" s="2">
        <v>491</v>
      </c>
      <c r="B492" s="8" t="s">
        <v>10</v>
      </c>
      <c r="C492" s="10" t="s">
        <v>1680</v>
      </c>
      <c r="D492" s="3"/>
      <c r="E492" s="3">
        <v>10</v>
      </c>
      <c r="F492" s="3">
        <f t="shared" si="75"/>
        <v>350</v>
      </c>
      <c r="G492" s="3">
        <v>5781</v>
      </c>
      <c r="H492" s="5" t="s">
        <v>43</v>
      </c>
    </row>
    <row r="493" spans="1:8" ht="21" x14ac:dyDescent="0.7">
      <c r="A493" s="2">
        <v>492</v>
      </c>
      <c r="B493" s="8" t="s">
        <v>10</v>
      </c>
      <c r="C493" s="10" t="s">
        <v>1681</v>
      </c>
      <c r="D493" s="3"/>
      <c r="E493" s="3">
        <v>6</v>
      </c>
      <c r="F493" s="3">
        <f t="shared" si="75"/>
        <v>344</v>
      </c>
      <c r="G493" s="3" t="s">
        <v>1682</v>
      </c>
      <c r="H493" s="5" t="s">
        <v>55</v>
      </c>
    </row>
    <row r="494" spans="1:8" ht="21" x14ac:dyDescent="0.7">
      <c r="A494" s="2">
        <v>493</v>
      </c>
      <c r="B494" s="8" t="s">
        <v>10</v>
      </c>
      <c r="C494" s="10" t="s">
        <v>1683</v>
      </c>
      <c r="D494" s="3"/>
      <c r="E494" s="3">
        <v>20</v>
      </c>
      <c r="F494" s="3">
        <f t="shared" si="75"/>
        <v>324</v>
      </c>
      <c r="G494" s="3">
        <v>5800</v>
      </c>
      <c r="H494" s="5" t="s">
        <v>43</v>
      </c>
    </row>
    <row r="495" spans="1:8" ht="21" x14ac:dyDescent="0.7">
      <c r="A495" s="2">
        <v>494</v>
      </c>
      <c r="B495" s="8" t="s">
        <v>10</v>
      </c>
      <c r="C495" s="10" t="s">
        <v>1684</v>
      </c>
      <c r="D495" s="3"/>
      <c r="E495" s="3">
        <v>10</v>
      </c>
      <c r="F495" s="3">
        <f t="shared" si="75"/>
        <v>314</v>
      </c>
      <c r="G495" s="3" t="s">
        <v>1685</v>
      </c>
      <c r="H495" s="5" t="s">
        <v>55</v>
      </c>
    </row>
    <row r="496" spans="1:8" ht="21" x14ac:dyDescent="0.7">
      <c r="A496" s="2">
        <v>495</v>
      </c>
      <c r="B496" s="8" t="s">
        <v>10</v>
      </c>
      <c r="C496" s="10" t="s">
        <v>1684</v>
      </c>
      <c r="D496" s="3"/>
      <c r="E496" s="3">
        <v>1</v>
      </c>
      <c r="F496" s="3">
        <f t="shared" si="75"/>
        <v>313</v>
      </c>
      <c r="G496" s="3">
        <v>5803</v>
      </c>
      <c r="H496" s="5" t="s">
        <v>1096</v>
      </c>
    </row>
    <row r="497" spans="1:8" ht="21" x14ac:dyDescent="0.7">
      <c r="A497" s="2">
        <v>496</v>
      </c>
      <c r="B497" s="8" t="s">
        <v>10</v>
      </c>
      <c r="C497" s="10" t="s">
        <v>1684</v>
      </c>
      <c r="D497" s="3"/>
      <c r="E497" s="3">
        <v>3</v>
      </c>
      <c r="F497" s="3">
        <f t="shared" ref="F497:F502" si="76">F496-E497</f>
        <v>310</v>
      </c>
      <c r="G497" s="3">
        <v>5808</v>
      </c>
      <c r="H497" s="5" t="s">
        <v>1142</v>
      </c>
    </row>
    <row r="498" spans="1:8" ht="21" x14ac:dyDescent="0.7">
      <c r="A498" s="2">
        <v>497</v>
      </c>
      <c r="B498" s="8" t="s">
        <v>10</v>
      </c>
      <c r="C498" s="10" t="s">
        <v>1688</v>
      </c>
      <c r="D498" s="3"/>
      <c r="E498" s="3">
        <v>4</v>
      </c>
      <c r="F498" s="3">
        <f t="shared" si="76"/>
        <v>306</v>
      </c>
      <c r="G498" s="3">
        <v>5815</v>
      </c>
      <c r="H498" s="5" t="s">
        <v>1355</v>
      </c>
    </row>
    <row r="499" spans="1:8" ht="21" x14ac:dyDescent="0.7">
      <c r="A499" s="2">
        <v>498</v>
      </c>
      <c r="B499" s="8" t="s">
        <v>10</v>
      </c>
      <c r="C499" s="10" t="s">
        <v>1692</v>
      </c>
      <c r="D499" s="3"/>
      <c r="E499" s="3">
        <v>3</v>
      </c>
      <c r="F499" s="3">
        <f t="shared" si="76"/>
        <v>303</v>
      </c>
      <c r="G499" s="3">
        <v>5818</v>
      </c>
      <c r="H499" s="5" t="s">
        <v>149</v>
      </c>
    </row>
    <row r="500" spans="1:8" ht="21" x14ac:dyDescent="0.7">
      <c r="A500" s="2">
        <v>499</v>
      </c>
      <c r="B500" s="8" t="s">
        <v>10</v>
      </c>
      <c r="C500" s="10" t="s">
        <v>1692</v>
      </c>
      <c r="D500" s="3"/>
      <c r="E500" s="3">
        <v>20</v>
      </c>
      <c r="F500" s="3">
        <f t="shared" si="76"/>
        <v>283</v>
      </c>
      <c r="G500" s="3">
        <v>5819</v>
      </c>
      <c r="H500" s="5" t="s">
        <v>1694</v>
      </c>
    </row>
    <row r="501" spans="1:8" ht="21" x14ac:dyDescent="0.7">
      <c r="A501" s="2">
        <v>500</v>
      </c>
      <c r="B501" s="8" t="s">
        <v>10</v>
      </c>
      <c r="C501" s="10" t="s">
        <v>1692</v>
      </c>
      <c r="D501" s="3"/>
      <c r="E501" s="3">
        <v>5</v>
      </c>
      <c r="F501" s="3">
        <f t="shared" si="76"/>
        <v>278</v>
      </c>
      <c r="G501" s="3">
        <v>5820</v>
      </c>
      <c r="H501" s="5" t="s">
        <v>930</v>
      </c>
    </row>
    <row r="502" spans="1:8" ht="21" x14ac:dyDescent="0.7">
      <c r="A502" s="2">
        <v>501</v>
      </c>
      <c r="B502" s="8" t="s">
        <v>10</v>
      </c>
      <c r="C502" s="10" t="s">
        <v>1696</v>
      </c>
      <c r="D502" s="3"/>
      <c r="E502" s="3">
        <v>30</v>
      </c>
      <c r="F502" s="3">
        <f t="shared" si="76"/>
        <v>248</v>
      </c>
      <c r="G502" s="3" t="s">
        <v>1698</v>
      </c>
      <c r="H502" s="5" t="s">
        <v>55</v>
      </c>
    </row>
    <row r="503" spans="1:8" ht="21" x14ac:dyDescent="0.7">
      <c r="A503" s="2">
        <v>502</v>
      </c>
      <c r="B503" s="8" t="s">
        <v>10</v>
      </c>
      <c r="C503" s="10" t="s">
        <v>1699</v>
      </c>
      <c r="D503" s="3"/>
      <c r="E503" s="3">
        <v>3</v>
      </c>
      <c r="F503" s="3">
        <f>F502-E503</f>
        <v>245</v>
      </c>
      <c r="G503" s="3">
        <v>5831</v>
      </c>
      <c r="H503" s="5" t="s">
        <v>1620</v>
      </c>
    </row>
    <row r="504" spans="1:8" ht="21" x14ac:dyDescent="0.7">
      <c r="A504" s="2">
        <v>503</v>
      </c>
      <c r="B504" s="8" t="s">
        <v>10</v>
      </c>
      <c r="C504" s="10" t="s">
        <v>1703</v>
      </c>
      <c r="D504" s="3"/>
      <c r="E504" s="3">
        <v>20</v>
      </c>
      <c r="F504" s="3">
        <f>F503-E504</f>
        <v>225</v>
      </c>
      <c r="G504" s="3">
        <v>5842</v>
      </c>
      <c r="H504" s="5" t="s">
        <v>1704</v>
      </c>
    </row>
    <row r="505" spans="1:8" ht="21" x14ac:dyDescent="0.7">
      <c r="A505" s="2">
        <v>504</v>
      </c>
      <c r="B505" s="8" t="s">
        <v>10</v>
      </c>
      <c r="C505" s="10" t="s">
        <v>1703</v>
      </c>
      <c r="D505" s="3"/>
      <c r="E505" s="3">
        <v>210</v>
      </c>
      <c r="F505" s="3">
        <f>F504-E505</f>
        <v>15</v>
      </c>
      <c r="G505" s="3">
        <v>5843</v>
      </c>
      <c r="H505" s="5" t="s">
        <v>1321</v>
      </c>
    </row>
    <row r="506" spans="1:8" ht="21" x14ac:dyDescent="0.7">
      <c r="A506" s="2">
        <v>505</v>
      </c>
      <c r="B506" s="8" t="s">
        <v>10</v>
      </c>
      <c r="C506" s="10" t="s">
        <v>1705</v>
      </c>
      <c r="D506" s="3"/>
      <c r="E506" s="3">
        <v>3</v>
      </c>
      <c r="F506" s="3">
        <f>F505-E506</f>
        <v>12</v>
      </c>
      <c r="G506" s="3">
        <v>5848</v>
      </c>
      <c r="H506" s="5" t="s">
        <v>1355</v>
      </c>
    </row>
    <row r="507" spans="1:8" ht="21" x14ac:dyDescent="0.7">
      <c r="A507" s="2">
        <v>506</v>
      </c>
      <c r="B507" s="8" t="s">
        <v>10</v>
      </c>
      <c r="C507" s="10" t="s">
        <v>1708</v>
      </c>
      <c r="D507" s="3">
        <v>480</v>
      </c>
      <c r="E507" s="3"/>
      <c r="F507" s="3">
        <f>F506+D507</f>
        <v>492</v>
      </c>
      <c r="G507" s="3"/>
      <c r="H507" s="25" t="s">
        <v>1707</v>
      </c>
    </row>
    <row r="508" spans="1:8" ht="21" x14ac:dyDescent="0.7">
      <c r="A508" s="2">
        <v>507</v>
      </c>
      <c r="B508" s="8" t="s">
        <v>10</v>
      </c>
      <c r="C508" s="10" t="s">
        <v>1712</v>
      </c>
      <c r="D508" s="3"/>
      <c r="E508" s="3">
        <v>10</v>
      </c>
      <c r="F508" s="3">
        <f t="shared" ref="F508:F513" si="77">F507-E508</f>
        <v>482</v>
      </c>
      <c r="G508" s="3">
        <v>5852</v>
      </c>
      <c r="H508" s="5" t="s">
        <v>71</v>
      </c>
    </row>
    <row r="509" spans="1:8" ht="21" x14ac:dyDescent="0.7">
      <c r="A509" s="2">
        <v>508</v>
      </c>
      <c r="B509" s="8" t="s">
        <v>10</v>
      </c>
      <c r="C509" s="10" t="s">
        <v>1713</v>
      </c>
      <c r="D509" s="3"/>
      <c r="E509" s="3">
        <v>25</v>
      </c>
      <c r="F509" s="3">
        <f t="shared" si="77"/>
        <v>457</v>
      </c>
      <c r="G509" s="3">
        <v>5857</v>
      </c>
      <c r="H509" s="5" t="s">
        <v>1087</v>
      </c>
    </row>
    <row r="510" spans="1:8" ht="21" x14ac:dyDescent="0.7">
      <c r="A510" s="2">
        <v>509</v>
      </c>
      <c r="B510" s="8" t="s">
        <v>10</v>
      </c>
      <c r="C510" s="10" t="s">
        <v>1714</v>
      </c>
      <c r="D510" s="3"/>
      <c r="E510" s="3">
        <v>3</v>
      </c>
      <c r="F510" s="3">
        <f t="shared" si="77"/>
        <v>454</v>
      </c>
      <c r="G510" s="3">
        <v>5859</v>
      </c>
      <c r="H510" s="5" t="s">
        <v>1715</v>
      </c>
    </row>
    <row r="511" spans="1:8" ht="21" x14ac:dyDescent="0.7">
      <c r="A511" s="2">
        <v>510</v>
      </c>
      <c r="B511" s="8" t="s">
        <v>10</v>
      </c>
      <c r="C511" s="10" t="s">
        <v>1719</v>
      </c>
      <c r="D511" s="3"/>
      <c r="E511" s="3">
        <v>2</v>
      </c>
      <c r="F511" s="3">
        <f t="shared" si="77"/>
        <v>452</v>
      </c>
      <c r="G511" s="3" t="s">
        <v>1720</v>
      </c>
      <c r="H511" s="5" t="s">
        <v>55</v>
      </c>
    </row>
    <row r="512" spans="1:8" ht="21" x14ac:dyDescent="0.7">
      <c r="A512" s="2">
        <v>511</v>
      </c>
      <c r="B512" s="8" t="s">
        <v>10</v>
      </c>
      <c r="C512" s="10" t="s">
        <v>1719</v>
      </c>
      <c r="D512" s="3"/>
      <c r="E512" s="3">
        <v>1</v>
      </c>
      <c r="F512" s="3">
        <f t="shared" si="77"/>
        <v>451</v>
      </c>
      <c r="G512" s="3">
        <v>5869</v>
      </c>
      <c r="H512" s="5" t="s">
        <v>1677</v>
      </c>
    </row>
    <row r="513" spans="1:8" ht="21" x14ac:dyDescent="0.7">
      <c r="A513" s="2">
        <v>512</v>
      </c>
      <c r="B513" s="8" t="s">
        <v>10</v>
      </c>
      <c r="C513" s="10" t="s">
        <v>1723</v>
      </c>
      <c r="D513" s="3"/>
      <c r="E513" s="3">
        <v>4</v>
      </c>
      <c r="F513" s="3">
        <f t="shared" si="77"/>
        <v>447</v>
      </c>
      <c r="G513" s="3">
        <v>5870</v>
      </c>
      <c r="H513" s="5" t="s">
        <v>549</v>
      </c>
    </row>
    <row r="514" spans="1:8" ht="21" x14ac:dyDescent="0.7">
      <c r="A514" s="2">
        <v>513</v>
      </c>
      <c r="B514" s="8" t="s">
        <v>10</v>
      </c>
      <c r="C514" s="10" t="s">
        <v>1724</v>
      </c>
      <c r="D514" s="3"/>
      <c r="E514" s="3">
        <v>20</v>
      </c>
      <c r="F514" s="3">
        <f t="shared" ref="F514:F519" si="78">F513-E514</f>
        <v>427</v>
      </c>
      <c r="G514" s="3">
        <v>5873</v>
      </c>
      <c r="H514" s="5" t="s">
        <v>1390</v>
      </c>
    </row>
    <row r="515" spans="1:8" ht="21" x14ac:dyDescent="0.7">
      <c r="A515" s="2">
        <v>514</v>
      </c>
      <c r="B515" s="8" t="s">
        <v>10</v>
      </c>
      <c r="C515" s="10" t="s">
        <v>1725</v>
      </c>
      <c r="D515" s="3"/>
      <c r="E515" s="3">
        <v>2</v>
      </c>
      <c r="F515" s="3">
        <f t="shared" si="78"/>
        <v>425</v>
      </c>
      <c r="G515" s="3">
        <v>5874</v>
      </c>
      <c r="H515" s="5" t="s">
        <v>1715</v>
      </c>
    </row>
    <row r="516" spans="1:8" ht="21" x14ac:dyDescent="0.7">
      <c r="A516" s="2">
        <v>515</v>
      </c>
      <c r="B516" s="8" t="s">
        <v>10</v>
      </c>
      <c r="C516" s="10" t="s">
        <v>1725</v>
      </c>
      <c r="D516" s="3"/>
      <c r="E516" s="3">
        <v>1</v>
      </c>
      <c r="F516" s="3">
        <f t="shared" si="78"/>
        <v>424</v>
      </c>
      <c r="G516" s="3">
        <v>5875</v>
      </c>
      <c r="H516" s="5" t="s">
        <v>124</v>
      </c>
    </row>
    <row r="517" spans="1:8" ht="21" x14ac:dyDescent="0.7">
      <c r="A517" s="2">
        <v>516</v>
      </c>
      <c r="B517" s="8" t="s">
        <v>10</v>
      </c>
      <c r="C517" s="10" t="s">
        <v>1731</v>
      </c>
      <c r="D517" s="3"/>
      <c r="E517" s="3">
        <v>11</v>
      </c>
      <c r="F517" s="3">
        <f t="shared" si="78"/>
        <v>413</v>
      </c>
      <c r="G517" s="3">
        <v>5889</v>
      </c>
      <c r="H517" s="5" t="s">
        <v>1732</v>
      </c>
    </row>
    <row r="518" spans="1:8" ht="21" x14ac:dyDescent="0.7">
      <c r="A518" s="2">
        <v>517</v>
      </c>
      <c r="B518" s="8" t="s">
        <v>10</v>
      </c>
      <c r="C518" s="10" t="s">
        <v>1736</v>
      </c>
      <c r="D518" s="3"/>
      <c r="E518" s="3">
        <v>12</v>
      </c>
      <c r="F518" s="3">
        <f t="shared" si="78"/>
        <v>401</v>
      </c>
      <c r="G518" s="3" t="s">
        <v>1737</v>
      </c>
      <c r="H518" s="5" t="s">
        <v>55</v>
      </c>
    </row>
    <row r="519" spans="1:8" ht="21" x14ac:dyDescent="0.7">
      <c r="A519" s="2">
        <v>518</v>
      </c>
      <c r="B519" s="8" t="s">
        <v>10</v>
      </c>
      <c r="C519" s="10" t="s">
        <v>1740</v>
      </c>
      <c r="D519" s="3"/>
      <c r="E519" s="3">
        <v>2</v>
      </c>
      <c r="F519" s="3">
        <f t="shared" si="78"/>
        <v>399</v>
      </c>
      <c r="G519" s="3">
        <v>5905</v>
      </c>
      <c r="H519" s="5" t="s">
        <v>1715</v>
      </c>
    </row>
    <row r="520" spans="1:8" ht="21" x14ac:dyDescent="0.7">
      <c r="A520" s="2">
        <v>519</v>
      </c>
      <c r="B520" s="8" t="s">
        <v>10</v>
      </c>
      <c r="C520" s="10" t="s">
        <v>1738</v>
      </c>
      <c r="D520" s="3"/>
      <c r="E520" s="3">
        <v>1</v>
      </c>
      <c r="F520" s="3">
        <f t="shared" ref="F520:F525" si="79">F519-E520</f>
        <v>398</v>
      </c>
      <c r="G520" s="3">
        <v>5910</v>
      </c>
      <c r="H520" s="5" t="s">
        <v>1743</v>
      </c>
    </row>
    <row r="521" spans="1:8" ht="21" x14ac:dyDescent="0.7">
      <c r="A521" s="2">
        <v>520</v>
      </c>
      <c r="B521" s="8" t="s">
        <v>10</v>
      </c>
      <c r="C521" s="10" t="s">
        <v>1748</v>
      </c>
      <c r="D521" s="3"/>
      <c r="E521" s="3">
        <v>10</v>
      </c>
      <c r="F521" s="3">
        <f t="shared" si="79"/>
        <v>388</v>
      </c>
      <c r="G521" s="3" t="s">
        <v>1751</v>
      </c>
      <c r="H521" s="5" t="s">
        <v>1750</v>
      </c>
    </row>
    <row r="522" spans="1:8" ht="21" x14ac:dyDescent="0.7">
      <c r="A522" s="2">
        <v>521</v>
      </c>
      <c r="B522" s="8" t="s">
        <v>10</v>
      </c>
      <c r="C522" s="10" t="s">
        <v>1752</v>
      </c>
      <c r="D522" s="3"/>
      <c r="E522" s="3">
        <v>15</v>
      </c>
      <c r="F522" s="3">
        <f t="shared" si="79"/>
        <v>373</v>
      </c>
      <c r="G522" s="3" t="s">
        <v>1753</v>
      </c>
      <c r="H522" s="5" t="s">
        <v>55</v>
      </c>
    </row>
    <row r="523" spans="1:8" ht="21" x14ac:dyDescent="0.7">
      <c r="A523" s="2">
        <v>522</v>
      </c>
      <c r="B523" s="8" t="s">
        <v>10</v>
      </c>
      <c r="C523" s="10" t="s">
        <v>1754</v>
      </c>
      <c r="D523" s="3"/>
      <c r="E523" s="3">
        <v>6</v>
      </c>
      <c r="F523" s="3">
        <f t="shared" si="79"/>
        <v>367</v>
      </c>
      <c r="G523" s="3">
        <v>5935</v>
      </c>
      <c r="H523" s="5" t="s">
        <v>1355</v>
      </c>
    </row>
    <row r="524" spans="1:8" ht="21" x14ac:dyDescent="0.7">
      <c r="A524" s="2">
        <v>523</v>
      </c>
      <c r="B524" s="8" t="s">
        <v>10</v>
      </c>
      <c r="C524" s="10" t="s">
        <v>1752</v>
      </c>
      <c r="D524" s="3"/>
      <c r="E524" s="3">
        <v>8</v>
      </c>
      <c r="F524" s="3">
        <f t="shared" si="79"/>
        <v>359</v>
      </c>
      <c r="G524" s="3">
        <v>5941</v>
      </c>
      <c r="H524" s="5" t="s">
        <v>132</v>
      </c>
    </row>
    <row r="525" spans="1:8" ht="21" x14ac:dyDescent="0.7">
      <c r="A525" s="2">
        <v>524</v>
      </c>
      <c r="B525" s="8" t="s">
        <v>10</v>
      </c>
      <c r="C525" s="10" t="s">
        <v>1755</v>
      </c>
      <c r="D525" s="3"/>
      <c r="E525" s="3">
        <v>3</v>
      </c>
      <c r="F525" s="3">
        <f t="shared" si="79"/>
        <v>356</v>
      </c>
      <c r="G525" s="3">
        <v>5942</v>
      </c>
      <c r="H525" s="5" t="s">
        <v>1142</v>
      </c>
    </row>
    <row r="526" spans="1:8" ht="21" x14ac:dyDescent="0.7">
      <c r="A526" s="2">
        <v>525</v>
      </c>
      <c r="B526" s="8" t="s">
        <v>10</v>
      </c>
      <c r="C526" s="10" t="s">
        <v>1757</v>
      </c>
      <c r="D526" s="3"/>
      <c r="E526" s="3">
        <v>5</v>
      </c>
      <c r="F526" s="3">
        <f t="shared" ref="F526:F531" si="80">F525-E526</f>
        <v>351</v>
      </c>
      <c r="G526" s="3">
        <v>5953</v>
      </c>
      <c r="H526" s="5" t="s">
        <v>1310</v>
      </c>
    </row>
    <row r="527" spans="1:8" ht="21" x14ac:dyDescent="0.7">
      <c r="A527" s="2">
        <v>526</v>
      </c>
      <c r="B527" s="8" t="s">
        <v>10</v>
      </c>
      <c r="C527" s="10" t="s">
        <v>1760</v>
      </c>
      <c r="D527" s="3"/>
      <c r="E527" s="3">
        <v>2</v>
      </c>
      <c r="F527" s="3">
        <f t="shared" si="80"/>
        <v>349</v>
      </c>
      <c r="G527" s="3">
        <v>5963</v>
      </c>
      <c r="H527" s="5" t="s">
        <v>1764</v>
      </c>
    </row>
    <row r="528" spans="1:8" ht="21" x14ac:dyDescent="0.7">
      <c r="A528" s="2">
        <v>527</v>
      </c>
      <c r="B528" s="8" t="s">
        <v>10</v>
      </c>
      <c r="C528" s="10" t="s">
        <v>1765</v>
      </c>
      <c r="D528" s="3"/>
      <c r="E528" s="3">
        <v>3</v>
      </c>
      <c r="F528" s="3">
        <f t="shared" si="80"/>
        <v>346</v>
      </c>
      <c r="G528" s="3">
        <v>5966</v>
      </c>
      <c r="H528" s="5" t="s">
        <v>1764</v>
      </c>
    </row>
    <row r="529" spans="1:8" ht="21" x14ac:dyDescent="0.7">
      <c r="A529" s="2">
        <v>528</v>
      </c>
      <c r="B529" s="8" t="s">
        <v>10</v>
      </c>
      <c r="C529" s="10" t="s">
        <v>1765</v>
      </c>
      <c r="D529" s="3"/>
      <c r="E529" s="3">
        <v>55</v>
      </c>
      <c r="F529" s="3">
        <f t="shared" si="80"/>
        <v>291</v>
      </c>
      <c r="G529" s="3">
        <v>5965</v>
      </c>
      <c r="H529" s="5" t="s">
        <v>400</v>
      </c>
    </row>
    <row r="530" spans="1:8" ht="21" x14ac:dyDescent="0.7">
      <c r="A530" s="2">
        <v>529</v>
      </c>
      <c r="B530" s="8" t="s">
        <v>10</v>
      </c>
      <c r="C530" s="10" t="s">
        <v>1768</v>
      </c>
      <c r="D530" s="3"/>
      <c r="E530" s="3">
        <v>10</v>
      </c>
      <c r="F530" s="3">
        <f t="shared" si="80"/>
        <v>281</v>
      </c>
      <c r="G530" s="3">
        <v>5969</v>
      </c>
      <c r="H530" s="5" t="s">
        <v>1087</v>
      </c>
    </row>
    <row r="531" spans="1:8" ht="21" x14ac:dyDescent="0.7">
      <c r="A531" s="2">
        <v>530</v>
      </c>
      <c r="B531" s="8" t="s">
        <v>10</v>
      </c>
      <c r="C531" s="10" t="s">
        <v>1773</v>
      </c>
      <c r="D531" s="3"/>
      <c r="E531" s="3">
        <v>1</v>
      </c>
      <c r="F531" s="3">
        <f t="shared" si="80"/>
        <v>280</v>
      </c>
      <c r="G531" s="3">
        <v>5974</v>
      </c>
      <c r="H531" s="5" t="s">
        <v>66</v>
      </c>
    </row>
    <row r="532" spans="1:8" ht="21" x14ac:dyDescent="0.7">
      <c r="A532" s="2">
        <v>531</v>
      </c>
      <c r="B532" s="8" t="s">
        <v>10</v>
      </c>
      <c r="C532" s="10" t="s">
        <v>1773</v>
      </c>
      <c r="D532" s="3"/>
      <c r="E532" s="3">
        <v>24</v>
      </c>
      <c r="F532" s="3">
        <f t="shared" ref="F532:F537" si="81">F531-E532</f>
        <v>256</v>
      </c>
      <c r="G532" s="3" t="s">
        <v>1774</v>
      </c>
      <c r="H532" s="5" t="s">
        <v>55</v>
      </c>
    </row>
    <row r="533" spans="1:8" ht="21" x14ac:dyDescent="0.7">
      <c r="A533" s="2">
        <v>532</v>
      </c>
      <c r="B533" s="8" t="s">
        <v>10</v>
      </c>
      <c r="C533" s="10" t="s">
        <v>1777</v>
      </c>
      <c r="D533" s="3"/>
      <c r="E533" s="3">
        <v>10</v>
      </c>
      <c r="F533" s="3">
        <f t="shared" si="81"/>
        <v>246</v>
      </c>
      <c r="G533" s="3" t="s">
        <v>1778</v>
      </c>
      <c r="H533" s="5" t="s">
        <v>55</v>
      </c>
    </row>
    <row r="534" spans="1:8" ht="21" x14ac:dyDescent="0.7">
      <c r="A534" s="2">
        <v>533</v>
      </c>
      <c r="B534" s="8" t="s">
        <v>10</v>
      </c>
      <c r="C534" s="10" t="s">
        <v>1775</v>
      </c>
      <c r="D534" s="3"/>
      <c r="E534" s="3">
        <v>4</v>
      </c>
      <c r="F534" s="3">
        <f t="shared" si="81"/>
        <v>242</v>
      </c>
      <c r="G534" s="3">
        <v>5978</v>
      </c>
      <c r="H534" s="5" t="s">
        <v>1715</v>
      </c>
    </row>
    <row r="535" spans="1:8" ht="21" x14ac:dyDescent="0.7">
      <c r="A535" s="2">
        <v>534</v>
      </c>
      <c r="B535" s="8" t="s">
        <v>10</v>
      </c>
      <c r="C535" s="10" t="s">
        <v>1779</v>
      </c>
      <c r="D535" s="3"/>
      <c r="E535" s="3">
        <v>2</v>
      </c>
      <c r="F535" s="3">
        <f t="shared" si="81"/>
        <v>240</v>
      </c>
      <c r="G535" s="3" t="s">
        <v>1780</v>
      </c>
      <c r="H535" s="5" t="s">
        <v>55</v>
      </c>
    </row>
    <row r="536" spans="1:8" ht="21" x14ac:dyDescent="0.7">
      <c r="A536" s="2">
        <v>535</v>
      </c>
      <c r="B536" s="8" t="s">
        <v>10</v>
      </c>
      <c r="C536" s="10" t="s">
        <v>1779</v>
      </c>
      <c r="D536" s="3"/>
      <c r="E536" s="3">
        <v>50</v>
      </c>
      <c r="F536" s="3">
        <f t="shared" si="81"/>
        <v>190</v>
      </c>
      <c r="G536" s="3" t="s">
        <v>1781</v>
      </c>
      <c r="H536" s="5" t="s">
        <v>55</v>
      </c>
    </row>
    <row r="537" spans="1:8" ht="21" x14ac:dyDescent="0.7">
      <c r="A537" s="2">
        <v>536</v>
      </c>
      <c r="B537" s="8" t="s">
        <v>10</v>
      </c>
      <c r="C537" s="10" t="s">
        <v>1782</v>
      </c>
      <c r="D537" s="3"/>
      <c r="E537" s="3">
        <v>5</v>
      </c>
      <c r="F537" s="3">
        <f t="shared" si="81"/>
        <v>185</v>
      </c>
      <c r="G537" s="3" t="s">
        <v>1783</v>
      </c>
      <c r="H537" s="5" t="s">
        <v>55</v>
      </c>
    </row>
    <row r="538" spans="1:8" ht="21" x14ac:dyDescent="0.7">
      <c r="A538" s="2">
        <v>537</v>
      </c>
      <c r="B538" s="8" t="s">
        <v>10</v>
      </c>
      <c r="C538" s="10" t="s">
        <v>1784</v>
      </c>
      <c r="D538" s="3"/>
      <c r="E538" s="3">
        <v>10</v>
      </c>
      <c r="F538" s="3">
        <f t="shared" ref="F538:F543" si="82">F537-E538</f>
        <v>175</v>
      </c>
      <c r="G538" s="3" t="s">
        <v>1785</v>
      </c>
      <c r="H538" s="5" t="s">
        <v>55</v>
      </c>
    </row>
    <row r="539" spans="1:8" ht="21" x14ac:dyDescent="0.7">
      <c r="A539" s="2">
        <v>538</v>
      </c>
      <c r="B539" s="8" t="s">
        <v>10</v>
      </c>
      <c r="C539" s="10" t="s">
        <v>1788</v>
      </c>
      <c r="D539" s="3"/>
      <c r="E539" s="3">
        <v>4</v>
      </c>
      <c r="F539" s="3">
        <f t="shared" si="82"/>
        <v>171</v>
      </c>
      <c r="G539" s="3" t="s">
        <v>1789</v>
      </c>
      <c r="H539" s="5" t="s">
        <v>55</v>
      </c>
    </row>
    <row r="540" spans="1:8" ht="21" x14ac:dyDescent="0.7">
      <c r="A540" s="2">
        <v>539</v>
      </c>
      <c r="B540" s="8" t="s">
        <v>10</v>
      </c>
      <c r="C540" s="10" t="s">
        <v>1790</v>
      </c>
      <c r="D540" s="3"/>
      <c r="E540" s="3">
        <v>2</v>
      </c>
      <c r="F540" s="3">
        <f t="shared" si="82"/>
        <v>169</v>
      </c>
      <c r="G540" s="3" t="s">
        <v>1791</v>
      </c>
      <c r="H540" s="5" t="s">
        <v>55</v>
      </c>
    </row>
    <row r="541" spans="1:8" ht="21" x14ac:dyDescent="0.7">
      <c r="A541" s="2">
        <v>540</v>
      </c>
      <c r="B541" s="8" t="s">
        <v>10</v>
      </c>
      <c r="C541" s="10" t="s">
        <v>1792</v>
      </c>
      <c r="D541" s="3"/>
      <c r="E541" s="3">
        <v>3</v>
      </c>
      <c r="F541" s="3">
        <f t="shared" si="82"/>
        <v>166</v>
      </c>
      <c r="G541" s="3">
        <v>6012</v>
      </c>
      <c r="H541" s="5" t="s">
        <v>1142</v>
      </c>
    </row>
    <row r="542" spans="1:8" ht="21" x14ac:dyDescent="0.7">
      <c r="A542" s="2">
        <v>541</v>
      </c>
      <c r="B542" s="8" t="s">
        <v>10</v>
      </c>
      <c r="C542" s="10" t="s">
        <v>1792</v>
      </c>
      <c r="D542" s="3"/>
      <c r="E542" s="3">
        <v>1</v>
      </c>
      <c r="F542" s="3">
        <f t="shared" si="82"/>
        <v>165</v>
      </c>
      <c r="G542" s="3">
        <v>6013</v>
      </c>
      <c r="H542" s="5" t="s">
        <v>234</v>
      </c>
    </row>
    <row r="543" spans="1:8" ht="21" x14ac:dyDescent="0.7">
      <c r="A543" s="2">
        <v>542</v>
      </c>
      <c r="B543" s="8" t="s">
        <v>10</v>
      </c>
      <c r="C543" s="10" t="s">
        <v>1797</v>
      </c>
      <c r="D543" s="3"/>
      <c r="E543" s="3">
        <v>3</v>
      </c>
      <c r="F543" s="3">
        <f t="shared" si="82"/>
        <v>162</v>
      </c>
      <c r="G543" s="3" t="s">
        <v>1798</v>
      </c>
      <c r="H543" s="5" t="s">
        <v>55</v>
      </c>
    </row>
    <row r="544" spans="1:8" ht="21" x14ac:dyDescent="0.7">
      <c r="A544" s="2">
        <v>543</v>
      </c>
      <c r="B544" s="8" t="s">
        <v>10</v>
      </c>
      <c r="C544" s="10" t="s">
        <v>1799</v>
      </c>
      <c r="D544" s="3"/>
      <c r="E544" s="3">
        <v>8</v>
      </c>
      <c r="F544" s="3">
        <f t="shared" ref="F544:F549" si="83">F543-E544</f>
        <v>154</v>
      </c>
      <c r="G544" s="3" t="s">
        <v>1801</v>
      </c>
      <c r="H544" s="5" t="s">
        <v>55</v>
      </c>
    </row>
    <row r="545" spans="1:8" ht="21" x14ac:dyDescent="0.7">
      <c r="A545" s="2">
        <v>544</v>
      </c>
      <c r="B545" s="8" t="s">
        <v>10</v>
      </c>
      <c r="C545" s="10" t="s">
        <v>1802</v>
      </c>
      <c r="D545" s="3"/>
      <c r="E545" s="3">
        <v>2</v>
      </c>
      <c r="F545" s="3">
        <f t="shared" si="83"/>
        <v>152</v>
      </c>
      <c r="G545" s="3">
        <v>6037</v>
      </c>
      <c r="H545" s="5" t="s">
        <v>1715</v>
      </c>
    </row>
    <row r="546" spans="1:8" ht="21" x14ac:dyDescent="0.7">
      <c r="A546" s="2">
        <v>545</v>
      </c>
      <c r="B546" s="8" t="s">
        <v>10</v>
      </c>
      <c r="C546" s="10" t="s">
        <v>1807</v>
      </c>
      <c r="D546" s="3"/>
      <c r="E546" s="3">
        <v>3</v>
      </c>
      <c r="F546" s="3">
        <f t="shared" si="83"/>
        <v>149</v>
      </c>
      <c r="G546" s="3" t="s">
        <v>1808</v>
      </c>
      <c r="H546" s="5" t="s">
        <v>1809</v>
      </c>
    </row>
    <row r="547" spans="1:8" ht="21" x14ac:dyDescent="0.7">
      <c r="A547" s="2">
        <v>546</v>
      </c>
      <c r="B547" s="8" t="s">
        <v>10</v>
      </c>
      <c r="C547" s="10" t="s">
        <v>1811</v>
      </c>
      <c r="D547" s="3"/>
      <c r="E547" s="3">
        <v>7</v>
      </c>
      <c r="F547" s="3">
        <f t="shared" si="83"/>
        <v>142</v>
      </c>
      <c r="G547" s="3" t="s">
        <v>1813</v>
      </c>
      <c r="H547" s="5" t="s">
        <v>55</v>
      </c>
    </row>
    <row r="548" spans="1:8" ht="21" x14ac:dyDescent="0.7">
      <c r="A548" s="2">
        <v>547</v>
      </c>
      <c r="B548" s="8" t="s">
        <v>10</v>
      </c>
      <c r="C548" s="10" t="s">
        <v>1811</v>
      </c>
      <c r="D548" s="3"/>
      <c r="E548" s="3">
        <v>2</v>
      </c>
      <c r="F548" s="3">
        <f t="shared" si="83"/>
        <v>140</v>
      </c>
      <c r="G548" s="3">
        <v>6042</v>
      </c>
      <c r="H548" s="5" t="s">
        <v>1822</v>
      </c>
    </row>
    <row r="549" spans="1:8" ht="21" x14ac:dyDescent="0.7">
      <c r="A549" s="2">
        <v>548</v>
      </c>
      <c r="B549" s="8" t="s">
        <v>10</v>
      </c>
      <c r="C549" s="10" t="s">
        <v>1811</v>
      </c>
      <c r="D549" s="3"/>
      <c r="E549" s="3">
        <v>2</v>
      </c>
      <c r="F549" s="3">
        <f t="shared" si="83"/>
        <v>138</v>
      </c>
      <c r="G549" s="3">
        <v>6043</v>
      </c>
      <c r="H549" s="5" t="s">
        <v>218</v>
      </c>
    </row>
    <row r="550" spans="1:8" ht="21" x14ac:dyDescent="0.7">
      <c r="A550" s="2">
        <v>549</v>
      </c>
      <c r="B550" s="8" t="s">
        <v>10</v>
      </c>
      <c r="C550" s="10" t="s">
        <v>1826</v>
      </c>
      <c r="D550" s="3"/>
      <c r="E550" s="3">
        <v>40</v>
      </c>
      <c r="F550" s="3">
        <f t="shared" ref="F550:F555" si="84">F549-E550</f>
        <v>98</v>
      </c>
      <c r="G550" s="3">
        <v>6051</v>
      </c>
      <c r="H550" s="5" t="s">
        <v>1450</v>
      </c>
    </row>
    <row r="551" spans="1:8" ht="21" x14ac:dyDescent="0.7">
      <c r="A551" s="2">
        <v>550</v>
      </c>
      <c r="B551" s="8" t="s">
        <v>10</v>
      </c>
      <c r="C551" s="10" t="s">
        <v>1827</v>
      </c>
      <c r="D551" s="3"/>
      <c r="E551" s="3">
        <v>3</v>
      </c>
      <c r="F551" s="3">
        <f t="shared" si="84"/>
        <v>95</v>
      </c>
      <c r="G551" s="3" t="s">
        <v>1828</v>
      </c>
      <c r="H551" s="5" t="s">
        <v>55</v>
      </c>
    </row>
    <row r="552" spans="1:8" ht="21" x14ac:dyDescent="0.7">
      <c r="A552" s="2">
        <v>551</v>
      </c>
      <c r="B552" s="8" t="s">
        <v>10</v>
      </c>
      <c r="C552" s="10" t="s">
        <v>1827</v>
      </c>
      <c r="D552" s="3"/>
      <c r="E552" s="3">
        <v>5</v>
      </c>
      <c r="F552" s="3">
        <f t="shared" si="84"/>
        <v>90</v>
      </c>
      <c r="G552" s="3">
        <v>6058</v>
      </c>
      <c r="H552" s="5" t="s">
        <v>132</v>
      </c>
    </row>
    <row r="553" spans="1:8" ht="21" x14ac:dyDescent="0.7">
      <c r="A553" s="2">
        <v>552</v>
      </c>
      <c r="B553" s="8" t="s">
        <v>10</v>
      </c>
      <c r="C553" s="10" t="s">
        <v>1830</v>
      </c>
      <c r="D553" s="3"/>
      <c r="E553" s="3">
        <v>4</v>
      </c>
      <c r="F553" s="3">
        <f t="shared" si="84"/>
        <v>86</v>
      </c>
      <c r="G553" s="3" t="s">
        <v>1828</v>
      </c>
      <c r="H553" s="5" t="s">
        <v>55</v>
      </c>
    </row>
    <row r="554" spans="1:8" ht="21" x14ac:dyDescent="0.7">
      <c r="A554" s="2">
        <v>553</v>
      </c>
      <c r="B554" s="8" t="s">
        <v>10</v>
      </c>
      <c r="C554" s="10" t="s">
        <v>1833</v>
      </c>
      <c r="D554" s="3"/>
      <c r="E554" s="3">
        <v>15</v>
      </c>
      <c r="F554" s="3">
        <f t="shared" si="84"/>
        <v>71</v>
      </c>
      <c r="G554" s="3" t="s">
        <v>1834</v>
      </c>
      <c r="H554" s="5" t="s">
        <v>55</v>
      </c>
    </row>
    <row r="555" spans="1:8" ht="21" x14ac:dyDescent="0.7">
      <c r="A555" s="2">
        <v>554</v>
      </c>
      <c r="B555" s="8" t="s">
        <v>10</v>
      </c>
      <c r="C555" s="10" t="s">
        <v>1835</v>
      </c>
      <c r="D555" s="3"/>
      <c r="E555" s="3">
        <v>15</v>
      </c>
      <c r="F555" s="3">
        <f t="shared" si="84"/>
        <v>56</v>
      </c>
      <c r="G555" s="3" t="s">
        <v>1836</v>
      </c>
      <c r="H555" s="5" t="s">
        <v>55</v>
      </c>
    </row>
    <row r="556" spans="1:8" ht="21" x14ac:dyDescent="0.7">
      <c r="A556" s="2">
        <v>555</v>
      </c>
      <c r="B556" s="8" t="s">
        <v>10</v>
      </c>
      <c r="C556" s="10" t="s">
        <v>1833</v>
      </c>
      <c r="D556" s="3"/>
      <c r="E556" s="3">
        <v>25</v>
      </c>
      <c r="F556" s="3">
        <f t="shared" ref="F556:F561" si="85">F555-E556</f>
        <v>31</v>
      </c>
      <c r="G556" s="3">
        <v>6064</v>
      </c>
      <c r="H556" s="5" t="s">
        <v>132</v>
      </c>
    </row>
    <row r="557" spans="1:8" ht="21" x14ac:dyDescent="0.7">
      <c r="A557" s="2">
        <v>556</v>
      </c>
      <c r="B557" s="8" t="s">
        <v>10</v>
      </c>
      <c r="C557" s="10" t="s">
        <v>1837</v>
      </c>
      <c r="D557" s="3"/>
      <c r="E557" s="3">
        <v>12</v>
      </c>
      <c r="F557" s="3">
        <f t="shared" si="85"/>
        <v>19</v>
      </c>
      <c r="G557" s="3">
        <v>6072</v>
      </c>
      <c r="H557" s="5" t="s">
        <v>1355</v>
      </c>
    </row>
    <row r="558" spans="1:8" ht="21" x14ac:dyDescent="0.7">
      <c r="A558" s="2">
        <v>557</v>
      </c>
      <c r="B558" s="8" t="s">
        <v>10</v>
      </c>
      <c r="C558" s="10" t="s">
        <v>1838</v>
      </c>
      <c r="D558" s="3"/>
      <c r="E558" s="3">
        <v>3</v>
      </c>
      <c r="F558" s="3">
        <f t="shared" si="85"/>
        <v>16</v>
      </c>
      <c r="G558" s="3" t="s">
        <v>1840</v>
      </c>
      <c r="H558" s="5" t="s">
        <v>55</v>
      </c>
    </row>
    <row r="559" spans="1:8" ht="21" x14ac:dyDescent="0.7">
      <c r="A559" s="2">
        <v>558</v>
      </c>
      <c r="B559" s="8" t="s">
        <v>10</v>
      </c>
      <c r="C559" s="10" t="s">
        <v>1838</v>
      </c>
      <c r="D559" s="3"/>
      <c r="E559" s="3">
        <v>1</v>
      </c>
      <c r="F559" s="3">
        <f t="shared" si="85"/>
        <v>15</v>
      </c>
      <c r="G559" s="3">
        <v>6073</v>
      </c>
      <c r="H559" s="5" t="s">
        <v>308</v>
      </c>
    </row>
    <row r="560" spans="1:8" ht="21" x14ac:dyDescent="0.7">
      <c r="A560" s="2">
        <v>559</v>
      </c>
      <c r="B560" s="8" t="s">
        <v>10</v>
      </c>
      <c r="C560" s="10" t="s">
        <v>1842</v>
      </c>
      <c r="D560" s="3"/>
      <c r="E560" s="3">
        <v>3</v>
      </c>
      <c r="F560" s="3">
        <f t="shared" si="85"/>
        <v>12</v>
      </c>
      <c r="G560" s="3" t="s">
        <v>1843</v>
      </c>
      <c r="H560" s="5" t="s">
        <v>55</v>
      </c>
    </row>
    <row r="561" spans="1:9" ht="21" x14ac:dyDescent="0.7">
      <c r="A561" s="2">
        <v>560</v>
      </c>
      <c r="B561" s="8" t="s">
        <v>10</v>
      </c>
      <c r="C561" s="30" t="s">
        <v>1771</v>
      </c>
      <c r="D561" s="3"/>
      <c r="E561" s="3">
        <v>3</v>
      </c>
      <c r="F561" s="3">
        <f t="shared" si="85"/>
        <v>9</v>
      </c>
      <c r="G561" s="3">
        <v>5970</v>
      </c>
      <c r="H561" s="5" t="s">
        <v>704</v>
      </c>
      <c r="I561" t="s">
        <v>1844</v>
      </c>
    </row>
    <row r="562" spans="1:9" ht="21" x14ac:dyDescent="0.7">
      <c r="A562" s="2">
        <v>561</v>
      </c>
      <c r="B562" s="8" t="s">
        <v>10</v>
      </c>
      <c r="C562" s="10" t="s">
        <v>1849</v>
      </c>
      <c r="D562" s="3">
        <v>960</v>
      </c>
      <c r="E562" s="3"/>
      <c r="F562" s="3">
        <f>F561+D562</f>
        <v>969</v>
      </c>
      <c r="G562" s="3"/>
      <c r="H562" s="25" t="s">
        <v>1850</v>
      </c>
    </row>
    <row r="563" spans="1:9" ht="21" x14ac:dyDescent="0.7">
      <c r="A563" s="2">
        <v>562</v>
      </c>
      <c r="B563" s="8" t="s">
        <v>10</v>
      </c>
      <c r="C563" s="10" t="s">
        <v>1851</v>
      </c>
      <c r="D563" s="3"/>
      <c r="E563" s="3">
        <v>20</v>
      </c>
      <c r="F563" s="3">
        <f t="shared" ref="F563:F568" si="86">F562-E563</f>
        <v>949</v>
      </c>
      <c r="G563" s="3">
        <v>6079</v>
      </c>
      <c r="H563" s="5" t="s">
        <v>132</v>
      </c>
    </row>
    <row r="564" spans="1:9" ht="21" x14ac:dyDescent="0.7">
      <c r="A564" s="2">
        <v>563</v>
      </c>
      <c r="B564" s="8" t="s">
        <v>10</v>
      </c>
      <c r="C564" s="10" t="s">
        <v>1854</v>
      </c>
      <c r="D564" s="3"/>
      <c r="E564" s="3">
        <v>10</v>
      </c>
      <c r="F564" s="3">
        <f t="shared" si="86"/>
        <v>939</v>
      </c>
      <c r="G564" s="3">
        <v>6082</v>
      </c>
      <c r="H564" s="5" t="s">
        <v>162</v>
      </c>
    </row>
    <row r="565" spans="1:9" ht="21" x14ac:dyDescent="0.7">
      <c r="A565" s="2">
        <v>564</v>
      </c>
      <c r="B565" s="8" t="s">
        <v>10</v>
      </c>
      <c r="C565" s="10" t="s">
        <v>1855</v>
      </c>
      <c r="D565" s="3"/>
      <c r="E565" s="3">
        <v>24</v>
      </c>
      <c r="F565" s="3">
        <f t="shared" si="86"/>
        <v>915</v>
      </c>
      <c r="G565" s="3" t="s">
        <v>1858</v>
      </c>
      <c r="H565" s="5" t="s">
        <v>55</v>
      </c>
    </row>
    <row r="566" spans="1:9" ht="21" x14ac:dyDescent="0.7">
      <c r="A566" s="2">
        <v>565</v>
      </c>
      <c r="B566" s="8" t="s">
        <v>10</v>
      </c>
      <c r="C566" s="10" t="s">
        <v>1859</v>
      </c>
      <c r="D566" s="3"/>
      <c r="E566" s="3">
        <v>3</v>
      </c>
      <c r="F566" s="3">
        <f t="shared" si="86"/>
        <v>912</v>
      </c>
      <c r="G566" s="3" t="s">
        <v>1860</v>
      </c>
      <c r="H566" s="5" t="s">
        <v>55</v>
      </c>
    </row>
    <row r="567" spans="1:9" ht="21" x14ac:dyDescent="0.7">
      <c r="A567" s="2">
        <v>566</v>
      </c>
      <c r="B567" s="8" t="s">
        <v>10</v>
      </c>
      <c r="C567" s="10" t="s">
        <v>1861</v>
      </c>
      <c r="D567" s="3"/>
      <c r="E567" s="3">
        <v>13</v>
      </c>
      <c r="F567" s="3">
        <f t="shared" si="86"/>
        <v>899</v>
      </c>
      <c r="G567" s="3">
        <v>6085</v>
      </c>
      <c r="H567" s="5" t="s">
        <v>1390</v>
      </c>
    </row>
    <row r="568" spans="1:9" ht="21" x14ac:dyDescent="0.7">
      <c r="A568" s="2">
        <v>567</v>
      </c>
      <c r="B568" s="8" t="s">
        <v>10</v>
      </c>
      <c r="C568" s="10" t="s">
        <v>1861</v>
      </c>
      <c r="D568" s="3"/>
      <c r="E568" s="3">
        <v>14</v>
      </c>
      <c r="F568" s="3">
        <f t="shared" si="86"/>
        <v>885</v>
      </c>
      <c r="G568" s="3">
        <v>6086</v>
      </c>
      <c r="H568" s="5" t="s">
        <v>704</v>
      </c>
    </row>
    <row r="569" spans="1:9" ht="21" x14ac:dyDescent="0.7">
      <c r="A569" s="2">
        <v>568</v>
      </c>
      <c r="B569" s="8" t="s">
        <v>10</v>
      </c>
      <c r="C569" s="10" t="s">
        <v>1865</v>
      </c>
      <c r="D569" s="3"/>
      <c r="E569" s="3">
        <v>70</v>
      </c>
      <c r="F569" s="3">
        <f t="shared" ref="F569:F574" si="87">F568-E569</f>
        <v>815</v>
      </c>
      <c r="G569" s="3">
        <v>6088</v>
      </c>
      <c r="H569" s="5" t="s">
        <v>1291</v>
      </c>
    </row>
    <row r="570" spans="1:9" ht="21" x14ac:dyDescent="0.7">
      <c r="A570" s="2">
        <v>569</v>
      </c>
      <c r="B570" s="8" t="s">
        <v>10</v>
      </c>
      <c r="C570" s="10" t="s">
        <v>1865</v>
      </c>
      <c r="D570" s="3"/>
      <c r="E570" s="3">
        <v>5</v>
      </c>
      <c r="F570" s="3">
        <f t="shared" si="87"/>
        <v>810</v>
      </c>
      <c r="G570" s="3" t="s">
        <v>1866</v>
      </c>
      <c r="H570" s="5" t="s">
        <v>55</v>
      </c>
    </row>
    <row r="571" spans="1:9" ht="21" x14ac:dyDescent="0.7">
      <c r="A571" s="2">
        <v>570</v>
      </c>
      <c r="B571" s="8" t="s">
        <v>10</v>
      </c>
      <c r="C571" s="10" t="s">
        <v>1865</v>
      </c>
      <c r="D571" s="3"/>
      <c r="E571" s="3">
        <v>50</v>
      </c>
      <c r="F571" s="3">
        <f t="shared" si="87"/>
        <v>760</v>
      </c>
      <c r="G571" s="3">
        <v>6089</v>
      </c>
      <c r="H571" s="5" t="s">
        <v>434</v>
      </c>
    </row>
    <row r="572" spans="1:9" ht="21" x14ac:dyDescent="0.7">
      <c r="A572" s="2">
        <v>571</v>
      </c>
      <c r="B572" s="8" t="s">
        <v>10</v>
      </c>
      <c r="C572" s="10" t="s">
        <v>1865</v>
      </c>
      <c r="D572" s="3"/>
      <c r="E572" s="3">
        <v>1</v>
      </c>
      <c r="F572" s="3">
        <f t="shared" si="87"/>
        <v>759</v>
      </c>
      <c r="G572" s="3">
        <v>6092</v>
      </c>
      <c r="H572" s="5" t="s">
        <v>1867</v>
      </c>
    </row>
    <row r="573" spans="1:9" ht="21" x14ac:dyDescent="0.7">
      <c r="A573" s="2">
        <v>572</v>
      </c>
      <c r="B573" s="8" t="s">
        <v>10</v>
      </c>
      <c r="C573" s="10" t="s">
        <v>1868</v>
      </c>
      <c r="D573" s="3"/>
      <c r="E573" s="3">
        <v>15</v>
      </c>
      <c r="F573" s="3">
        <f t="shared" si="87"/>
        <v>744</v>
      </c>
      <c r="G573" s="3" t="s">
        <v>1869</v>
      </c>
      <c r="H573" s="5" t="s">
        <v>55</v>
      </c>
    </row>
    <row r="574" spans="1:9" ht="21" x14ac:dyDescent="0.7">
      <c r="A574" s="2">
        <v>573</v>
      </c>
      <c r="B574" s="8" t="s">
        <v>10</v>
      </c>
      <c r="C574" s="10" t="s">
        <v>1870</v>
      </c>
      <c r="D574" s="3"/>
      <c r="E574" s="3">
        <v>5</v>
      </c>
      <c r="F574" s="3">
        <f t="shared" si="87"/>
        <v>739</v>
      </c>
      <c r="G574" s="3" t="s">
        <v>1871</v>
      </c>
      <c r="H574" s="5" t="s">
        <v>55</v>
      </c>
    </row>
    <row r="575" spans="1:9" ht="21" x14ac:dyDescent="0.7">
      <c r="A575" s="2">
        <v>574</v>
      </c>
      <c r="B575" s="8" t="s">
        <v>10</v>
      </c>
      <c r="C575" s="10" t="s">
        <v>1872</v>
      </c>
      <c r="D575" s="3"/>
      <c r="E575" s="3">
        <v>2</v>
      </c>
      <c r="F575" s="3">
        <f t="shared" ref="F575:F580" si="88">F574-E575</f>
        <v>737</v>
      </c>
      <c r="G575" s="3">
        <v>6094</v>
      </c>
      <c r="H575" s="5" t="s">
        <v>646</v>
      </c>
    </row>
    <row r="576" spans="1:9" ht="21" x14ac:dyDescent="0.7">
      <c r="A576" s="2">
        <v>575</v>
      </c>
      <c r="B576" s="8" t="s">
        <v>10</v>
      </c>
      <c r="C576" s="10" t="s">
        <v>1874</v>
      </c>
      <c r="D576" s="3"/>
      <c r="E576" s="3">
        <v>16</v>
      </c>
      <c r="F576" s="3">
        <f t="shared" si="88"/>
        <v>721</v>
      </c>
      <c r="G576" s="3" t="s">
        <v>1875</v>
      </c>
      <c r="H576" s="5" t="s">
        <v>55</v>
      </c>
    </row>
    <row r="577" spans="1:8" ht="21" x14ac:dyDescent="0.7">
      <c r="A577" s="2">
        <v>576</v>
      </c>
      <c r="B577" s="8" t="s">
        <v>10</v>
      </c>
      <c r="C577" s="10" t="s">
        <v>1874</v>
      </c>
      <c r="D577" s="3"/>
      <c r="E577" s="3">
        <v>10</v>
      </c>
      <c r="F577" s="3">
        <f t="shared" si="88"/>
        <v>711</v>
      </c>
      <c r="G577" s="3" t="s">
        <v>1876</v>
      </c>
      <c r="H577" s="5" t="s">
        <v>55</v>
      </c>
    </row>
    <row r="578" spans="1:8" ht="21" x14ac:dyDescent="0.7">
      <c r="A578" s="2">
        <v>577</v>
      </c>
      <c r="B578" s="8" t="s">
        <v>10</v>
      </c>
      <c r="C578" s="10" t="s">
        <v>1874</v>
      </c>
      <c r="D578" s="3"/>
      <c r="E578" s="3">
        <v>20</v>
      </c>
      <c r="F578" s="3">
        <f t="shared" si="88"/>
        <v>691</v>
      </c>
      <c r="G578" s="3">
        <v>6114</v>
      </c>
      <c r="H578" s="5" t="s">
        <v>1291</v>
      </c>
    </row>
    <row r="579" spans="1:8" ht="21" x14ac:dyDescent="0.7">
      <c r="A579" s="2">
        <v>578</v>
      </c>
      <c r="B579" s="8" t="s">
        <v>10</v>
      </c>
      <c r="C579" s="10" t="s">
        <v>1877</v>
      </c>
      <c r="D579" s="3"/>
      <c r="E579" s="3">
        <v>10</v>
      </c>
      <c r="F579" s="3">
        <f t="shared" si="88"/>
        <v>681</v>
      </c>
      <c r="G579" s="3">
        <v>6113</v>
      </c>
      <c r="H579" s="5" t="s">
        <v>704</v>
      </c>
    </row>
    <row r="580" spans="1:8" ht="21" x14ac:dyDescent="0.7">
      <c r="A580" s="2">
        <v>579</v>
      </c>
      <c r="B580" s="8" t="s">
        <v>10</v>
      </c>
      <c r="C580" s="10" t="s">
        <v>1877</v>
      </c>
      <c r="D580" s="3"/>
      <c r="E580" s="3">
        <v>40</v>
      </c>
      <c r="F580" s="3">
        <f t="shared" si="88"/>
        <v>641</v>
      </c>
      <c r="G580" s="3">
        <v>6112</v>
      </c>
      <c r="H580" s="5" t="s">
        <v>1395</v>
      </c>
    </row>
    <row r="581" spans="1:8" ht="21" x14ac:dyDescent="0.7">
      <c r="A581" s="2">
        <v>580</v>
      </c>
      <c r="B581" s="8" t="s">
        <v>10</v>
      </c>
      <c r="C581" s="10" t="s">
        <v>1878</v>
      </c>
      <c r="D581" s="3"/>
      <c r="E581" s="3">
        <v>12</v>
      </c>
      <c r="F581" s="3">
        <f t="shared" ref="F581:F586" si="89">F580-E581</f>
        <v>629</v>
      </c>
      <c r="G581" s="3" t="s">
        <v>1879</v>
      </c>
      <c r="H581" s="5" t="s">
        <v>55</v>
      </c>
    </row>
    <row r="582" spans="1:8" ht="21" x14ac:dyDescent="0.7">
      <c r="A582" s="2">
        <v>581</v>
      </c>
      <c r="B582" s="8" t="s">
        <v>10</v>
      </c>
      <c r="C582" s="10" t="s">
        <v>1883</v>
      </c>
      <c r="D582" s="3"/>
      <c r="E582" s="3">
        <v>3</v>
      </c>
      <c r="F582" s="3">
        <f t="shared" si="89"/>
        <v>626</v>
      </c>
      <c r="G582" s="3">
        <v>6115</v>
      </c>
      <c r="H582" s="5" t="s">
        <v>1715</v>
      </c>
    </row>
    <row r="583" spans="1:8" ht="21" x14ac:dyDescent="0.7">
      <c r="A583" s="2">
        <v>582</v>
      </c>
      <c r="B583" s="8" t="s">
        <v>10</v>
      </c>
      <c r="C583" s="10" t="s">
        <v>1878</v>
      </c>
      <c r="D583" s="3"/>
      <c r="E583" s="3">
        <v>5</v>
      </c>
      <c r="F583" s="3">
        <f t="shared" si="89"/>
        <v>621</v>
      </c>
      <c r="G583" s="3">
        <v>6116</v>
      </c>
      <c r="H583" s="5" t="s">
        <v>132</v>
      </c>
    </row>
    <row r="584" spans="1:8" ht="21" x14ac:dyDescent="0.7">
      <c r="A584" s="2">
        <v>583</v>
      </c>
      <c r="B584" s="8" t="s">
        <v>10</v>
      </c>
      <c r="C584" s="10" t="s">
        <v>1878</v>
      </c>
      <c r="D584" s="3"/>
      <c r="E584" s="3">
        <v>3</v>
      </c>
      <c r="F584" s="3">
        <f t="shared" si="89"/>
        <v>618</v>
      </c>
      <c r="G584" s="3">
        <v>6117</v>
      </c>
      <c r="H584" s="5" t="s">
        <v>1620</v>
      </c>
    </row>
    <row r="585" spans="1:8" ht="21" x14ac:dyDescent="0.7">
      <c r="A585" s="2">
        <v>584</v>
      </c>
      <c r="B585" s="8" t="s">
        <v>10</v>
      </c>
      <c r="C585" s="10" t="s">
        <v>1884</v>
      </c>
      <c r="D585" s="3"/>
      <c r="E585" s="3">
        <v>12</v>
      </c>
      <c r="F585" s="3">
        <f t="shared" si="89"/>
        <v>606</v>
      </c>
      <c r="G585" s="3" t="s">
        <v>1885</v>
      </c>
      <c r="H585" s="5" t="s">
        <v>55</v>
      </c>
    </row>
    <row r="586" spans="1:8" ht="21" x14ac:dyDescent="0.7">
      <c r="A586" s="2">
        <v>585</v>
      </c>
      <c r="B586" s="8" t="s">
        <v>10</v>
      </c>
      <c r="C586" s="10" t="s">
        <v>1886</v>
      </c>
      <c r="D586" s="3"/>
      <c r="E586" s="3">
        <v>10</v>
      </c>
      <c r="F586" s="3">
        <f t="shared" si="89"/>
        <v>596</v>
      </c>
      <c r="G586" s="3">
        <v>6118</v>
      </c>
      <c r="H586" s="5" t="s">
        <v>43</v>
      </c>
    </row>
    <row r="587" spans="1:8" ht="21" x14ac:dyDescent="0.7">
      <c r="A587" s="2">
        <v>586</v>
      </c>
      <c r="B587" s="8" t="s">
        <v>10</v>
      </c>
      <c r="C587" s="10" t="s">
        <v>1887</v>
      </c>
      <c r="D587" s="3"/>
      <c r="E587" s="3">
        <v>2</v>
      </c>
      <c r="F587" s="3">
        <f t="shared" ref="F587:F592" si="90">F586-E587</f>
        <v>594</v>
      </c>
      <c r="G587" s="3">
        <v>6120</v>
      </c>
      <c r="H587" s="5" t="s">
        <v>1142</v>
      </c>
    </row>
    <row r="588" spans="1:8" ht="21" x14ac:dyDescent="0.7">
      <c r="A588" s="2">
        <v>587</v>
      </c>
      <c r="B588" s="8" t="s">
        <v>10</v>
      </c>
      <c r="C588" s="10" t="s">
        <v>1888</v>
      </c>
      <c r="D588" s="3"/>
      <c r="E588" s="3">
        <v>1</v>
      </c>
      <c r="F588" s="3">
        <f t="shared" si="90"/>
        <v>593</v>
      </c>
      <c r="G588" s="3">
        <v>6121</v>
      </c>
      <c r="H588" s="5" t="s">
        <v>66</v>
      </c>
    </row>
    <row r="589" spans="1:8" ht="21" x14ac:dyDescent="0.7">
      <c r="A589" s="2">
        <v>588</v>
      </c>
      <c r="B589" s="8" t="s">
        <v>10</v>
      </c>
      <c r="C589" s="10" t="s">
        <v>1891</v>
      </c>
      <c r="D589" s="3"/>
      <c r="E589" s="3">
        <v>15</v>
      </c>
      <c r="F589" s="3">
        <f t="shared" si="90"/>
        <v>578</v>
      </c>
      <c r="G589" s="3" t="s">
        <v>1892</v>
      </c>
      <c r="H589" s="5" t="s">
        <v>55</v>
      </c>
    </row>
    <row r="590" spans="1:8" ht="21" x14ac:dyDescent="0.7">
      <c r="A590" s="2">
        <v>589</v>
      </c>
      <c r="B590" s="8" t="s">
        <v>10</v>
      </c>
      <c r="C590" s="10" t="s">
        <v>1891</v>
      </c>
      <c r="D590" s="3"/>
      <c r="E590" s="3">
        <v>22</v>
      </c>
      <c r="F590" s="3">
        <f t="shared" si="90"/>
        <v>556</v>
      </c>
      <c r="G590" s="3">
        <v>6129</v>
      </c>
      <c r="H590" s="5" t="s">
        <v>1395</v>
      </c>
    </row>
    <row r="591" spans="1:8" ht="21" x14ac:dyDescent="0.7">
      <c r="A591" s="2">
        <v>590</v>
      </c>
      <c r="B591" s="8" t="s">
        <v>10</v>
      </c>
      <c r="C591" s="10" t="s">
        <v>1893</v>
      </c>
      <c r="D591" s="3"/>
      <c r="E591" s="3">
        <v>2</v>
      </c>
      <c r="F591" s="3">
        <f t="shared" si="90"/>
        <v>554</v>
      </c>
      <c r="G591" s="3">
        <v>6130</v>
      </c>
      <c r="H591" s="5" t="s">
        <v>1715</v>
      </c>
    </row>
    <row r="592" spans="1:8" ht="21" x14ac:dyDescent="0.7">
      <c r="A592" s="2">
        <v>591</v>
      </c>
      <c r="B592" s="8" t="s">
        <v>10</v>
      </c>
      <c r="C592" s="10" t="s">
        <v>1895</v>
      </c>
      <c r="D592" s="3"/>
      <c r="E592" s="3">
        <v>6</v>
      </c>
      <c r="F592" s="3">
        <f t="shared" si="90"/>
        <v>548</v>
      </c>
      <c r="G592" s="3">
        <v>6140</v>
      </c>
      <c r="H592" s="5" t="s">
        <v>162</v>
      </c>
    </row>
    <row r="593" spans="1:8" ht="21" x14ac:dyDescent="0.7">
      <c r="A593" s="2">
        <v>592</v>
      </c>
      <c r="B593" s="8" t="s">
        <v>10</v>
      </c>
      <c r="C593" s="10" t="s">
        <v>1896</v>
      </c>
      <c r="D593" s="3"/>
      <c r="E593" s="3">
        <v>2</v>
      </c>
      <c r="F593" s="3">
        <f t="shared" ref="F593:F598" si="91">F592-E593</f>
        <v>546</v>
      </c>
      <c r="G593" s="3">
        <v>6148</v>
      </c>
      <c r="H593" s="5" t="s">
        <v>1620</v>
      </c>
    </row>
    <row r="594" spans="1:8" ht="21" x14ac:dyDescent="0.7">
      <c r="A594" s="2">
        <v>593</v>
      </c>
      <c r="B594" s="8" t="s">
        <v>10</v>
      </c>
      <c r="C594" s="10" t="s">
        <v>1897</v>
      </c>
      <c r="D594" s="3"/>
      <c r="E594" s="3">
        <v>4</v>
      </c>
      <c r="F594" s="3">
        <f t="shared" si="91"/>
        <v>542</v>
      </c>
      <c r="G594" s="3">
        <v>6156</v>
      </c>
      <c r="H594" s="5" t="s">
        <v>1142</v>
      </c>
    </row>
    <row r="595" spans="1:8" ht="21" x14ac:dyDescent="0.7">
      <c r="A595" s="2">
        <v>594</v>
      </c>
      <c r="B595" s="8" t="s">
        <v>10</v>
      </c>
      <c r="C595" s="10" t="s">
        <v>1897</v>
      </c>
      <c r="D595" s="3"/>
      <c r="E595" s="3">
        <v>30</v>
      </c>
      <c r="F595" s="3">
        <f t="shared" si="91"/>
        <v>512</v>
      </c>
      <c r="G595" s="3">
        <v>6157</v>
      </c>
      <c r="H595" s="5" t="s">
        <v>1291</v>
      </c>
    </row>
    <row r="596" spans="1:8" ht="21" x14ac:dyDescent="0.7">
      <c r="A596" s="2">
        <v>595</v>
      </c>
      <c r="B596" s="8" t="s">
        <v>10</v>
      </c>
      <c r="C596" s="10" t="s">
        <v>1897</v>
      </c>
      <c r="D596" s="3"/>
      <c r="E596" s="3">
        <v>12</v>
      </c>
      <c r="F596" s="3">
        <f t="shared" si="91"/>
        <v>500</v>
      </c>
      <c r="G596" s="3" t="s">
        <v>1898</v>
      </c>
      <c r="H596" s="5" t="s">
        <v>55</v>
      </c>
    </row>
    <row r="597" spans="1:8" ht="21" x14ac:dyDescent="0.7">
      <c r="A597" s="2">
        <v>596</v>
      </c>
      <c r="B597" s="8" t="s">
        <v>10</v>
      </c>
      <c r="C597" s="10" t="s">
        <v>1899</v>
      </c>
      <c r="D597" s="3"/>
      <c r="E597" s="3">
        <v>100</v>
      </c>
      <c r="F597" s="3">
        <f t="shared" si="91"/>
        <v>400</v>
      </c>
      <c r="G597" s="3">
        <v>6166</v>
      </c>
      <c r="H597" s="5" t="s">
        <v>1291</v>
      </c>
    </row>
    <row r="598" spans="1:8" ht="21" x14ac:dyDescent="0.7">
      <c r="A598" s="2">
        <v>597</v>
      </c>
      <c r="B598" s="8" t="s">
        <v>10</v>
      </c>
      <c r="C598" s="10" t="s">
        <v>1899</v>
      </c>
      <c r="D598" s="3"/>
      <c r="E598" s="3">
        <v>1</v>
      </c>
      <c r="F598" s="3">
        <f t="shared" si="91"/>
        <v>399</v>
      </c>
      <c r="G598" s="3">
        <v>6169</v>
      </c>
      <c r="H598" s="5" t="s">
        <v>1677</v>
      </c>
    </row>
    <row r="599" spans="1:8" ht="21" x14ac:dyDescent="0.7">
      <c r="A599" s="2">
        <v>598</v>
      </c>
      <c r="B599" s="8" t="s">
        <v>10</v>
      </c>
      <c r="C599" s="10" t="s">
        <v>1900</v>
      </c>
      <c r="D599" s="3"/>
      <c r="E599" s="3">
        <v>1</v>
      </c>
      <c r="F599" s="3">
        <f t="shared" ref="F599:F604" si="92">F598-E599</f>
        <v>398</v>
      </c>
      <c r="G599" s="3">
        <v>6170</v>
      </c>
      <c r="H599" s="5" t="s">
        <v>149</v>
      </c>
    </row>
    <row r="600" spans="1:8" ht="21" x14ac:dyDescent="0.7">
      <c r="A600" s="2">
        <v>599</v>
      </c>
      <c r="B600" s="8" t="s">
        <v>10</v>
      </c>
      <c r="C600" s="10" t="s">
        <v>1901</v>
      </c>
      <c r="D600" s="3"/>
      <c r="E600" s="3">
        <v>30</v>
      </c>
      <c r="F600" s="3">
        <f t="shared" si="92"/>
        <v>368</v>
      </c>
      <c r="G600" s="3" t="s">
        <v>1902</v>
      </c>
      <c r="H600" s="5" t="s">
        <v>55</v>
      </c>
    </row>
    <row r="601" spans="1:8" ht="21" x14ac:dyDescent="0.7">
      <c r="A601" s="2">
        <v>600</v>
      </c>
      <c r="B601" s="8" t="s">
        <v>10</v>
      </c>
      <c r="C601" s="10" t="s">
        <v>1901</v>
      </c>
      <c r="D601" s="3"/>
      <c r="E601" s="3">
        <v>128</v>
      </c>
      <c r="F601" s="3">
        <f t="shared" si="92"/>
        <v>240</v>
      </c>
      <c r="G601" s="3">
        <v>6172</v>
      </c>
      <c r="H601" s="5" t="s">
        <v>1291</v>
      </c>
    </row>
    <row r="602" spans="1:8" ht="21" x14ac:dyDescent="0.7">
      <c r="A602" s="2">
        <v>601</v>
      </c>
      <c r="B602" s="8" t="s">
        <v>10</v>
      </c>
      <c r="C602" s="10" t="s">
        <v>1903</v>
      </c>
      <c r="D602" s="3"/>
      <c r="E602" s="3">
        <v>1</v>
      </c>
      <c r="F602" s="3">
        <f t="shared" si="92"/>
        <v>239</v>
      </c>
      <c r="G602" s="3">
        <v>6178</v>
      </c>
      <c r="H602" s="5" t="s">
        <v>1904</v>
      </c>
    </row>
    <row r="603" spans="1:8" ht="21" x14ac:dyDescent="0.7">
      <c r="A603" s="2">
        <v>602</v>
      </c>
      <c r="B603" s="8" t="s">
        <v>10</v>
      </c>
      <c r="C603" s="10" t="s">
        <v>1903</v>
      </c>
      <c r="D603" s="3"/>
      <c r="E603" s="3">
        <v>2</v>
      </c>
      <c r="F603" s="3">
        <f t="shared" si="92"/>
        <v>237</v>
      </c>
      <c r="G603" s="3">
        <v>6177</v>
      </c>
      <c r="H603" s="5" t="s">
        <v>1715</v>
      </c>
    </row>
    <row r="604" spans="1:8" ht="21" x14ac:dyDescent="0.7">
      <c r="A604" s="2">
        <v>603</v>
      </c>
      <c r="B604" s="8" t="s">
        <v>10</v>
      </c>
      <c r="C604" s="10" t="s">
        <v>1905</v>
      </c>
      <c r="D604" s="3"/>
      <c r="E604" s="3">
        <v>20</v>
      </c>
      <c r="F604" s="3">
        <f t="shared" si="92"/>
        <v>217</v>
      </c>
      <c r="G604" s="3">
        <v>6181</v>
      </c>
      <c r="H604" s="5" t="s">
        <v>704</v>
      </c>
    </row>
    <row r="605" spans="1:8" ht="21" x14ac:dyDescent="0.7">
      <c r="A605" s="2">
        <v>604</v>
      </c>
      <c r="B605" s="8" t="s">
        <v>10</v>
      </c>
      <c r="C605" s="10" t="s">
        <v>1906</v>
      </c>
      <c r="D605" s="3"/>
      <c r="E605" s="3">
        <v>2</v>
      </c>
      <c r="F605" s="3">
        <f t="shared" ref="F605:F610" si="93">F604-E605</f>
        <v>215</v>
      </c>
      <c r="G605" s="3">
        <v>6186</v>
      </c>
      <c r="H605" s="5" t="s">
        <v>1764</v>
      </c>
    </row>
    <row r="606" spans="1:8" ht="21" x14ac:dyDescent="0.7">
      <c r="A606" s="2">
        <v>605</v>
      </c>
      <c r="B606" s="8" t="s">
        <v>10</v>
      </c>
      <c r="C606" s="10" t="s">
        <v>1907</v>
      </c>
      <c r="D606" s="3"/>
      <c r="E606" s="3">
        <v>100</v>
      </c>
      <c r="F606" s="3">
        <f t="shared" si="93"/>
        <v>115</v>
      </c>
      <c r="G606" s="3">
        <v>6187</v>
      </c>
      <c r="H606" s="5" t="s">
        <v>1291</v>
      </c>
    </row>
    <row r="607" spans="1:8" ht="21" x14ac:dyDescent="0.7">
      <c r="A607" s="2">
        <v>606</v>
      </c>
      <c r="B607" s="8" t="s">
        <v>10</v>
      </c>
      <c r="C607" s="10" t="s">
        <v>1913</v>
      </c>
      <c r="D607" s="3"/>
      <c r="E607" s="3">
        <v>5</v>
      </c>
      <c r="F607" s="3">
        <f t="shared" si="93"/>
        <v>110</v>
      </c>
      <c r="G607" s="3">
        <v>6200</v>
      </c>
      <c r="H607" s="5" t="s">
        <v>704</v>
      </c>
    </row>
    <row r="608" spans="1:8" ht="21" x14ac:dyDescent="0.7">
      <c r="A608" s="2">
        <v>607</v>
      </c>
      <c r="B608" s="8" t="s">
        <v>10</v>
      </c>
      <c r="C608" s="10" t="s">
        <v>1917</v>
      </c>
      <c r="D608" s="3"/>
      <c r="E608" s="3">
        <v>10</v>
      </c>
      <c r="F608" s="3">
        <f t="shared" si="93"/>
        <v>100</v>
      </c>
      <c r="G608" s="3" t="s">
        <v>1918</v>
      </c>
      <c r="H608" s="5" t="s">
        <v>55</v>
      </c>
    </row>
    <row r="609" spans="1:9" ht="21" x14ac:dyDescent="0.7">
      <c r="A609" s="2">
        <v>608</v>
      </c>
      <c r="B609" s="8" t="s">
        <v>10</v>
      </c>
      <c r="C609" s="10" t="s">
        <v>1919</v>
      </c>
      <c r="D609" s="3"/>
      <c r="E609" s="3">
        <v>12</v>
      </c>
      <c r="F609" s="3">
        <f t="shared" si="93"/>
        <v>88</v>
      </c>
      <c r="G609" s="3" t="s">
        <v>1920</v>
      </c>
      <c r="H609" s="5" t="s">
        <v>55</v>
      </c>
    </row>
    <row r="610" spans="1:9" ht="21" x14ac:dyDescent="0.7">
      <c r="A610" s="2">
        <v>609</v>
      </c>
      <c r="B610" s="8" t="s">
        <v>10</v>
      </c>
      <c r="C610" s="10" t="s">
        <v>1921</v>
      </c>
      <c r="D610" s="3"/>
      <c r="E610" s="3">
        <v>50</v>
      </c>
      <c r="F610" s="3">
        <f t="shared" si="93"/>
        <v>38</v>
      </c>
      <c r="G610" s="3" t="s">
        <v>1922</v>
      </c>
      <c r="H610" s="5" t="s">
        <v>55</v>
      </c>
    </row>
    <row r="611" spans="1:9" ht="21" x14ac:dyDescent="0.7">
      <c r="A611" s="2">
        <v>610</v>
      </c>
      <c r="B611" s="8" t="s">
        <v>10</v>
      </c>
      <c r="C611" s="10" t="s">
        <v>1919</v>
      </c>
      <c r="D611" s="3"/>
      <c r="E611" s="3">
        <v>2</v>
      </c>
      <c r="F611" s="3">
        <f t="shared" ref="F611:F616" si="94">F610-E611</f>
        <v>36</v>
      </c>
      <c r="G611" s="3">
        <v>6206</v>
      </c>
      <c r="H611" s="5" t="s">
        <v>79</v>
      </c>
    </row>
    <row r="612" spans="1:9" ht="21" x14ac:dyDescent="0.7">
      <c r="A612" s="2">
        <v>611</v>
      </c>
      <c r="B612" s="8" t="s">
        <v>10</v>
      </c>
      <c r="C612" s="10" t="s">
        <v>1924</v>
      </c>
      <c r="D612" s="3"/>
      <c r="E612" s="3">
        <v>10</v>
      </c>
      <c r="F612" s="3">
        <f t="shared" si="94"/>
        <v>26</v>
      </c>
      <c r="G612" s="3">
        <v>6207</v>
      </c>
      <c r="H612" s="5" t="s">
        <v>132</v>
      </c>
    </row>
    <row r="613" spans="1:9" ht="21" x14ac:dyDescent="0.7">
      <c r="A613" s="2">
        <v>612</v>
      </c>
      <c r="B613" s="8" t="s">
        <v>10</v>
      </c>
      <c r="C613" s="10" t="s">
        <v>1921</v>
      </c>
      <c r="D613" s="3"/>
      <c r="E613" s="3">
        <v>1</v>
      </c>
      <c r="F613" s="3">
        <f t="shared" si="94"/>
        <v>25</v>
      </c>
      <c r="G613" s="3">
        <v>6208</v>
      </c>
      <c r="H613" s="5" t="s">
        <v>124</v>
      </c>
    </row>
    <row r="614" spans="1:9" ht="21" x14ac:dyDescent="0.7">
      <c r="A614" s="2">
        <v>613</v>
      </c>
      <c r="B614" s="8" t="s">
        <v>10</v>
      </c>
      <c r="C614" s="10" t="s">
        <v>1925</v>
      </c>
      <c r="D614" s="3"/>
      <c r="E614" s="3">
        <v>3</v>
      </c>
      <c r="F614" s="3">
        <f t="shared" si="94"/>
        <v>22</v>
      </c>
      <c r="G614" s="3">
        <v>6213</v>
      </c>
      <c r="H614" s="5" t="s">
        <v>1142</v>
      </c>
    </row>
    <row r="615" spans="1:9" ht="21" x14ac:dyDescent="0.7">
      <c r="A615" s="2">
        <v>614</v>
      </c>
      <c r="B615" s="8" t="s">
        <v>10</v>
      </c>
      <c r="C615" s="10" t="s">
        <v>1926</v>
      </c>
      <c r="D615" s="3"/>
      <c r="E615" s="3">
        <v>5</v>
      </c>
      <c r="F615" s="3">
        <f t="shared" si="94"/>
        <v>17</v>
      </c>
      <c r="G615" s="3">
        <v>6219</v>
      </c>
      <c r="H615" s="5" t="s">
        <v>1142</v>
      </c>
    </row>
    <row r="616" spans="1:9" ht="21" x14ac:dyDescent="0.7">
      <c r="A616" s="2">
        <v>615</v>
      </c>
      <c r="B616" s="8" t="s">
        <v>10</v>
      </c>
      <c r="C616" s="10" t="s">
        <v>1927</v>
      </c>
      <c r="D616" s="3"/>
      <c r="E616" s="3">
        <v>5</v>
      </c>
      <c r="F616" s="3">
        <f t="shared" si="94"/>
        <v>12</v>
      </c>
      <c r="G616" s="3">
        <v>6220</v>
      </c>
      <c r="H616" s="5" t="s">
        <v>1142</v>
      </c>
    </row>
    <row r="617" spans="1:9" ht="21" x14ac:dyDescent="0.7">
      <c r="A617" s="2">
        <v>616</v>
      </c>
      <c r="B617" s="8" t="s">
        <v>10</v>
      </c>
      <c r="C617" s="10" t="s">
        <v>1927</v>
      </c>
      <c r="D617" s="3"/>
      <c r="E617" s="3">
        <v>1</v>
      </c>
      <c r="F617" s="3">
        <f t="shared" ref="F617:F622" si="95">F616-E617</f>
        <v>11</v>
      </c>
      <c r="G617" s="3">
        <v>6221</v>
      </c>
      <c r="H617" s="5" t="s">
        <v>1928</v>
      </c>
    </row>
    <row r="618" spans="1:9" ht="21" x14ac:dyDescent="0.7">
      <c r="A618" s="2">
        <v>617</v>
      </c>
      <c r="B618" s="8" t="s">
        <v>10</v>
      </c>
      <c r="C618" s="10" t="s">
        <v>1927</v>
      </c>
      <c r="D618" s="3"/>
      <c r="E618" s="3">
        <v>1</v>
      </c>
      <c r="F618" s="3">
        <f t="shared" si="95"/>
        <v>10</v>
      </c>
      <c r="G618" s="3">
        <v>6222</v>
      </c>
      <c r="H618" s="5" t="s">
        <v>150</v>
      </c>
    </row>
    <row r="619" spans="1:9" ht="21" x14ac:dyDescent="0.7">
      <c r="A619" s="2">
        <v>618</v>
      </c>
      <c r="B619" s="8" t="s">
        <v>10</v>
      </c>
      <c r="C619" s="10" t="s">
        <v>1929</v>
      </c>
      <c r="D619" s="3"/>
      <c r="E619" s="3">
        <v>3</v>
      </c>
      <c r="F619" s="3">
        <f t="shared" si="95"/>
        <v>7</v>
      </c>
      <c r="G619" s="3">
        <v>6224</v>
      </c>
      <c r="H619" s="5" t="s">
        <v>1715</v>
      </c>
    </row>
    <row r="620" spans="1:9" ht="21" x14ac:dyDescent="0.7">
      <c r="A620" s="2">
        <v>619</v>
      </c>
      <c r="B620" s="8" t="s">
        <v>10</v>
      </c>
      <c r="C620" s="10" t="s">
        <v>1930</v>
      </c>
      <c r="D620" s="3"/>
      <c r="E620" s="3">
        <v>3</v>
      </c>
      <c r="F620" s="3">
        <f t="shared" si="95"/>
        <v>4</v>
      </c>
      <c r="G620" s="3" t="s">
        <v>1931</v>
      </c>
      <c r="H620" s="5" t="s">
        <v>55</v>
      </c>
    </row>
    <row r="621" spans="1:9" ht="21" x14ac:dyDescent="0.7">
      <c r="A621" s="2">
        <v>620</v>
      </c>
      <c r="B621" s="8" t="s">
        <v>10</v>
      </c>
      <c r="C621" s="10" t="s">
        <v>1932</v>
      </c>
      <c r="D621" s="3"/>
      <c r="E621" s="3">
        <v>2</v>
      </c>
      <c r="F621" s="3">
        <f t="shared" si="95"/>
        <v>2</v>
      </c>
      <c r="G621" s="3" t="s">
        <v>1933</v>
      </c>
      <c r="H621" s="5" t="s">
        <v>55</v>
      </c>
    </row>
    <row r="622" spans="1:9" ht="21" x14ac:dyDescent="0.7">
      <c r="A622" s="2">
        <v>621</v>
      </c>
      <c r="B622" s="8" t="s">
        <v>10</v>
      </c>
      <c r="C622" s="10" t="s">
        <v>1937</v>
      </c>
      <c r="D622" s="3"/>
      <c r="E622" s="3">
        <v>2</v>
      </c>
      <c r="F622" s="3">
        <f t="shared" si="95"/>
        <v>0</v>
      </c>
      <c r="G622" s="3">
        <v>6226</v>
      </c>
      <c r="H622" s="5" t="s">
        <v>1764</v>
      </c>
    </row>
    <row r="623" spans="1:9" ht="21" x14ac:dyDescent="0.7">
      <c r="A623" s="2">
        <v>622</v>
      </c>
      <c r="B623" s="8" t="s">
        <v>10</v>
      </c>
      <c r="C623" s="10" t="s">
        <v>1934</v>
      </c>
      <c r="D623" s="3">
        <v>804</v>
      </c>
      <c r="E623" s="3"/>
      <c r="F623" s="3">
        <v>804</v>
      </c>
      <c r="G623" s="3"/>
      <c r="H623" s="25" t="s">
        <v>1935</v>
      </c>
    </row>
    <row r="624" spans="1:9" ht="21" x14ac:dyDescent="0.7">
      <c r="A624" s="2">
        <v>623</v>
      </c>
      <c r="B624" s="8" t="s">
        <v>10</v>
      </c>
      <c r="C624" s="10" t="s">
        <v>1939</v>
      </c>
      <c r="D624" s="3"/>
      <c r="E624" s="3">
        <v>396</v>
      </c>
      <c r="F624" s="3">
        <f t="shared" ref="F624:F629" si="96">F623-E624</f>
        <v>408</v>
      </c>
      <c r="G624" s="3">
        <v>6264</v>
      </c>
      <c r="H624" s="5" t="s">
        <v>80</v>
      </c>
      <c r="I624" t="s">
        <v>1940</v>
      </c>
    </row>
    <row r="625" spans="1:8" ht="21" x14ac:dyDescent="0.7">
      <c r="A625" s="2">
        <v>624</v>
      </c>
      <c r="B625" s="8" t="s">
        <v>10</v>
      </c>
      <c r="C625" s="10" t="s">
        <v>1943</v>
      </c>
      <c r="D625" s="3"/>
      <c r="E625" s="3">
        <v>1</v>
      </c>
      <c r="F625" s="3">
        <f t="shared" si="96"/>
        <v>407</v>
      </c>
      <c r="G625" s="3">
        <v>6231</v>
      </c>
      <c r="H625" s="5" t="s">
        <v>1944</v>
      </c>
    </row>
    <row r="626" spans="1:8" ht="21" x14ac:dyDescent="0.7">
      <c r="A626" s="2">
        <v>625</v>
      </c>
      <c r="B626" s="8" t="s">
        <v>10</v>
      </c>
      <c r="C626" s="10" t="s">
        <v>1943</v>
      </c>
      <c r="D626" s="3"/>
      <c r="E626" s="3">
        <v>5</v>
      </c>
      <c r="F626" s="3">
        <f t="shared" si="96"/>
        <v>402</v>
      </c>
      <c r="G626" s="3">
        <v>6232</v>
      </c>
      <c r="H626" s="5" t="s">
        <v>1673</v>
      </c>
    </row>
    <row r="627" spans="1:8" ht="21" x14ac:dyDescent="0.7">
      <c r="A627" s="2">
        <v>626</v>
      </c>
      <c r="B627" s="8" t="s">
        <v>10</v>
      </c>
      <c r="C627" s="10" t="s">
        <v>1945</v>
      </c>
      <c r="D627" s="3"/>
      <c r="E627" s="3">
        <v>10</v>
      </c>
      <c r="F627" s="3">
        <f t="shared" si="96"/>
        <v>392</v>
      </c>
      <c r="G627" s="3">
        <v>6236</v>
      </c>
      <c r="H627" s="5" t="s">
        <v>930</v>
      </c>
    </row>
    <row r="628" spans="1:8" ht="21" x14ac:dyDescent="0.7">
      <c r="A628" s="2">
        <v>627</v>
      </c>
      <c r="B628" s="8" t="s">
        <v>10</v>
      </c>
      <c r="C628" s="10" t="s">
        <v>1945</v>
      </c>
      <c r="D628" s="3"/>
      <c r="E628" s="3">
        <v>175</v>
      </c>
      <c r="F628" s="3">
        <f t="shared" si="96"/>
        <v>217</v>
      </c>
      <c r="G628" s="3">
        <v>6238</v>
      </c>
      <c r="H628" s="5" t="s">
        <v>1321</v>
      </c>
    </row>
    <row r="629" spans="1:8" ht="21" x14ac:dyDescent="0.7">
      <c r="A629" s="2">
        <v>628</v>
      </c>
      <c r="B629" s="8" t="s">
        <v>10</v>
      </c>
      <c r="C629" s="10" t="s">
        <v>1945</v>
      </c>
      <c r="D629" s="3"/>
      <c r="E629" s="3">
        <v>3</v>
      </c>
      <c r="F629" s="3">
        <f t="shared" si="96"/>
        <v>214</v>
      </c>
      <c r="G629" s="3" t="s">
        <v>1946</v>
      </c>
      <c r="H629" s="5" t="s">
        <v>1809</v>
      </c>
    </row>
    <row r="630" spans="1:8" ht="21" x14ac:dyDescent="0.7">
      <c r="A630" s="2">
        <v>629</v>
      </c>
      <c r="B630" s="8" t="s">
        <v>10</v>
      </c>
      <c r="C630" s="10" t="s">
        <v>1947</v>
      </c>
      <c r="D630" s="3"/>
      <c r="E630" s="3">
        <v>4</v>
      </c>
      <c r="F630" s="3">
        <f t="shared" ref="F630:F635" si="97">F629-E630</f>
        <v>210</v>
      </c>
      <c r="G630" s="3" t="s">
        <v>1948</v>
      </c>
      <c r="H630" s="5" t="s">
        <v>55</v>
      </c>
    </row>
    <row r="631" spans="1:8" ht="21" x14ac:dyDescent="0.7">
      <c r="A631" s="2">
        <v>630</v>
      </c>
      <c r="B631" s="8" t="s">
        <v>10</v>
      </c>
      <c r="C631" s="10" t="s">
        <v>1953</v>
      </c>
      <c r="D631" s="3"/>
      <c r="E631" s="3">
        <v>3</v>
      </c>
      <c r="F631" s="3">
        <f t="shared" si="97"/>
        <v>207</v>
      </c>
      <c r="G631" s="3" t="s">
        <v>1954</v>
      </c>
      <c r="H631" s="5" t="s">
        <v>55</v>
      </c>
    </row>
    <row r="632" spans="1:8" ht="21" x14ac:dyDescent="0.7">
      <c r="A632" s="2">
        <v>631</v>
      </c>
      <c r="B632" s="8" t="s">
        <v>10</v>
      </c>
      <c r="C632" s="10" t="s">
        <v>1955</v>
      </c>
      <c r="D632" s="3"/>
      <c r="E632" s="3">
        <v>4</v>
      </c>
      <c r="F632" s="3">
        <f t="shared" si="97"/>
        <v>203</v>
      </c>
      <c r="G632" s="3" t="s">
        <v>1958</v>
      </c>
      <c r="H632" s="5" t="s">
        <v>55</v>
      </c>
    </row>
    <row r="633" spans="1:8" ht="21" x14ac:dyDescent="0.7">
      <c r="A633" s="2">
        <v>632</v>
      </c>
      <c r="B633" s="8" t="s">
        <v>10</v>
      </c>
      <c r="C633" s="10" t="s">
        <v>1947</v>
      </c>
      <c r="D633" s="3"/>
      <c r="E633" s="3">
        <v>2</v>
      </c>
      <c r="F633" s="3">
        <f t="shared" si="97"/>
        <v>201</v>
      </c>
      <c r="G633" s="3">
        <v>6240</v>
      </c>
      <c r="H633" s="5" t="s">
        <v>1715</v>
      </c>
    </row>
    <row r="634" spans="1:8" ht="21" x14ac:dyDescent="0.7">
      <c r="A634" s="2">
        <v>633</v>
      </c>
      <c r="B634" s="8" t="s">
        <v>10</v>
      </c>
      <c r="C634" s="10" t="s">
        <v>1945</v>
      </c>
      <c r="D634" s="3"/>
      <c r="E634" s="3">
        <v>1</v>
      </c>
      <c r="F634" s="3">
        <f t="shared" si="97"/>
        <v>200</v>
      </c>
      <c r="G634" s="3">
        <v>6241</v>
      </c>
      <c r="H634" s="5" t="s">
        <v>1961</v>
      </c>
    </row>
    <row r="635" spans="1:8" ht="21" x14ac:dyDescent="0.7">
      <c r="A635" s="2">
        <v>634</v>
      </c>
      <c r="B635" s="8" t="s">
        <v>10</v>
      </c>
      <c r="C635" s="10" t="s">
        <v>1947</v>
      </c>
      <c r="D635" s="3"/>
      <c r="E635" s="3">
        <v>5</v>
      </c>
      <c r="F635" s="3">
        <f t="shared" si="97"/>
        <v>195</v>
      </c>
      <c r="G635" s="3">
        <v>6242</v>
      </c>
      <c r="H635" s="5" t="s">
        <v>545</v>
      </c>
    </row>
    <row r="636" spans="1:8" ht="21" x14ac:dyDescent="0.7">
      <c r="A636" s="2">
        <v>635</v>
      </c>
      <c r="B636" s="8" t="s">
        <v>10</v>
      </c>
      <c r="C636" s="10" t="s">
        <v>1963</v>
      </c>
      <c r="D636" s="3"/>
      <c r="E636" s="3">
        <v>12</v>
      </c>
      <c r="F636" s="3">
        <f t="shared" ref="F636:F641" si="98">F635-E636</f>
        <v>183</v>
      </c>
      <c r="G636" s="3" t="s">
        <v>1964</v>
      </c>
      <c r="H636" s="5" t="s">
        <v>55</v>
      </c>
    </row>
    <row r="637" spans="1:8" ht="21" x14ac:dyDescent="0.7">
      <c r="A637" s="2">
        <v>636</v>
      </c>
      <c r="B637" s="8" t="s">
        <v>10</v>
      </c>
      <c r="C637" s="10" t="s">
        <v>1965</v>
      </c>
      <c r="D637" s="3"/>
      <c r="E637" s="3">
        <v>3</v>
      </c>
      <c r="F637" s="3">
        <f t="shared" si="98"/>
        <v>180</v>
      </c>
      <c r="G637" s="3" t="s">
        <v>1966</v>
      </c>
      <c r="H637" s="5" t="s">
        <v>55</v>
      </c>
    </row>
    <row r="638" spans="1:8" ht="21" x14ac:dyDescent="0.7">
      <c r="A638" s="2">
        <v>637</v>
      </c>
      <c r="B638" s="8" t="s">
        <v>10</v>
      </c>
      <c r="C638" s="10" t="s">
        <v>1967</v>
      </c>
      <c r="D638" s="3"/>
      <c r="E638" s="3">
        <v>2</v>
      </c>
      <c r="F638" s="3">
        <f t="shared" si="98"/>
        <v>178</v>
      </c>
      <c r="G638" s="3" t="s">
        <v>1968</v>
      </c>
      <c r="H638" s="5" t="s">
        <v>55</v>
      </c>
    </row>
    <row r="639" spans="1:8" ht="21" x14ac:dyDescent="0.7">
      <c r="A639" s="2">
        <v>638</v>
      </c>
      <c r="B639" s="8" t="s">
        <v>10</v>
      </c>
      <c r="C639" s="10" t="s">
        <v>1974</v>
      </c>
      <c r="D639" s="3"/>
      <c r="E639" s="3">
        <v>4</v>
      </c>
      <c r="F639" s="3">
        <f t="shared" si="98"/>
        <v>174</v>
      </c>
      <c r="G639" s="3" t="s">
        <v>1975</v>
      </c>
      <c r="H639" s="5" t="s">
        <v>55</v>
      </c>
    </row>
    <row r="640" spans="1:8" ht="21" x14ac:dyDescent="0.7">
      <c r="A640" s="2">
        <v>639</v>
      </c>
      <c r="B640" s="8" t="s">
        <v>10</v>
      </c>
      <c r="C640" s="10" t="s">
        <v>1979</v>
      </c>
      <c r="D640" s="3"/>
      <c r="E640" s="3">
        <v>5</v>
      </c>
      <c r="F640" s="3">
        <f t="shared" si="98"/>
        <v>169</v>
      </c>
      <c r="G640" s="3">
        <v>6253</v>
      </c>
      <c r="H640" s="5" t="s">
        <v>1310</v>
      </c>
    </row>
    <row r="641" spans="1:8" ht="21" x14ac:dyDescent="0.7">
      <c r="A641" s="2">
        <v>640</v>
      </c>
      <c r="B641" s="8" t="s">
        <v>10</v>
      </c>
      <c r="C641" s="10" t="s">
        <v>1980</v>
      </c>
      <c r="D641" s="3"/>
      <c r="E641" s="3">
        <v>2</v>
      </c>
      <c r="F641" s="3">
        <f t="shared" si="98"/>
        <v>167</v>
      </c>
      <c r="G641" s="3">
        <v>6254</v>
      </c>
      <c r="H641" s="5" t="s">
        <v>1981</v>
      </c>
    </row>
    <row r="642" spans="1:8" ht="21" x14ac:dyDescent="0.7">
      <c r="A642" s="2">
        <v>641</v>
      </c>
      <c r="B642" s="8" t="s">
        <v>10</v>
      </c>
      <c r="C642" s="10" t="s">
        <v>1982</v>
      </c>
      <c r="D642" s="3"/>
      <c r="E642" s="3">
        <v>4</v>
      </c>
      <c r="F642" s="3">
        <f t="shared" ref="F642:F647" si="99">F641-E642</f>
        <v>163</v>
      </c>
      <c r="G642" s="3" t="s">
        <v>1983</v>
      </c>
      <c r="H642" s="5" t="s">
        <v>55</v>
      </c>
    </row>
    <row r="643" spans="1:8" ht="21" x14ac:dyDescent="0.7">
      <c r="A643" s="2">
        <v>642</v>
      </c>
      <c r="B643" s="8" t="s">
        <v>10</v>
      </c>
      <c r="C643" s="10" t="s">
        <v>1984</v>
      </c>
      <c r="D643" s="3"/>
      <c r="E643" s="3">
        <v>12</v>
      </c>
      <c r="F643" s="3">
        <f t="shared" si="99"/>
        <v>151</v>
      </c>
      <c r="G643" s="3" t="s">
        <v>1987</v>
      </c>
      <c r="H643" s="5" t="s">
        <v>55</v>
      </c>
    </row>
    <row r="644" spans="1:8" ht="21" x14ac:dyDescent="0.7">
      <c r="A644" s="2">
        <v>643</v>
      </c>
      <c r="B644" s="8" t="s">
        <v>10</v>
      </c>
      <c r="C644" s="10" t="s">
        <v>1989</v>
      </c>
      <c r="D644" s="3"/>
      <c r="E644" s="3">
        <v>24</v>
      </c>
      <c r="F644" s="3">
        <f t="shared" si="99"/>
        <v>127</v>
      </c>
      <c r="G644" s="3" t="s">
        <v>1990</v>
      </c>
      <c r="H644" s="5" t="s">
        <v>55</v>
      </c>
    </row>
    <row r="645" spans="1:8" ht="21" x14ac:dyDescent="0.7">
      <c r="A645" s="2">
        <v>644</v>
      </c>
      <c r="B645" s="8" t="s">
        <v>10</v>
      </c>
      <c r="C645" s="10" t="s">
        <v>1989</v>
      </c>
      <c r="D645" s="3"/>
      <c r="E645" s="3">
        <v>1</v>
      </c>
      <c r="F645" s="3">
        <f t="shared" si="99"/>
        <v>126</v>
      </c>
      <c r="G645" s="3" t="s">
        <v>1991</v>
      </c>
      <c r="H645" s="5" t="s">
        <v>55</v>
      </c>
    </row>
    <row r="646" spans="1:8" ht="21" x14ac:dyDescent="0.7">
      <c r="A646" s="2">
        <v>645</v>
      </c>
      <c r="B646" s="8" t="s">
        <v>10</v>
      </c>
      <c r="C646" s="10" t="s">
        <v>1994</v>
      </c>
      <c r="D646" s="3"/>
      <c r="E646" s="3">
        <v>3</v>
      </c>
      <c r="F646" s="3">
        <f t="shared" si="99"/>
        <v>123</v>
      </c>
      <c r="G646" s="3" t="s">
        <v>1995</v>
      </c>
      <c r="H646" s="5" t="s">
        <v>55</v>
      </c>
    </row>
    <row r="647" spans="1:8" ht="21" x14ac:dyDescent="0.7">
      <c r="A647" s="2">
        <v>646</v>
      </c>
      <c r="B647" s="8" t="s">
        <v>10</v>
      </c>
      <c r="C647" s="10" t="s">
        <v>1994</v>
      </c>
      <c r="D647" s="3"/>
      <c r="E647" s="3">
        <v>1</v>
      </c>
      <c r="F647" s="3">
        <f t="shared" si="99"/>
        <v>122</v>
      </c>
      <c r="G647" s="3">
        <v>6261</v>
      </c>
      <c r="H647" s="5" t="s">
        <v>1677</v>
      </c>
    </row>
    <row r="648" spans="1:8" ht="21" x14ac:dyDescent="0.7">
      <c r="A648" s="2">
        <v>647</v>
      </c>
      <c r="B648" s="8" t="s">
        <v>10</v>
      </c>
      <c r="C648" s="10" t="s">
        <v>2002</v>
      </c>
      <c r="D648" s="3"/>
      <c r="E648" s="3">
        <v>5</v>
      </c>
      <c r="F648" s="3">
        <f t="shared" ref="F648:F653" si="100">F647-E648</f>
        <v>117</v>
      </c>
      <c r="G648" s="3" t="s">
        <v>2003</v>
      </c>
      <c r="H648" s="5" t="s">
        <v>55</v>
      </c>
    </row>
    <row r="649" spans="1:8" ht="21" x14ac:dyDescent="0.7">
      <c r="A649" s="2">
        <v>648</v>
      </c>
      <c r="B649" s="8" t="s">
        <v>10</v>
      </c>
      <c r="C649" s="10" t="s">
        <v>2002</v>
      </c>
      <c r="D649" s="3"/>
      <c r="E649" s="3">
        <v>18</v>
      </c>
      <c r="F649" s="3">
        <f t="shared" si="100"/>
        <v>99</v>
      </c>
      <c r="G649" s="3">
        <v>6273</v>
      </c>
      <c r="H649" s="5" t="s">
        <v>1096</v>
      </c>
    </row>
    <row r="650" spans="1:8" ht="21" x14ac:dyDescent="0.7">
      <c r="A650" s="2">
        <v>649</v>
      </c>
      <c r="B650" s="8" t="s">
        <v>10</v>
      </c>
      <c r="C650" s="10" t="s">
        <v>2006</v>
      </c>
      <c r="D650" s="3"/>
      <c r="E650" s="3">
        <v>1</v>
      </c>
      <c r="F650" s="3">
        <f t="shared" si="100"/>
        <v>98</v>
      </c>
      <c r="G650" s="3" t="s">
        <v>2007</v>
      </c>
      <c r="H650" s="5" t="s">
        <v>55</v>
      </c>
    </row>
    <row r="651" spans="1:8" ht="21" x14ac:dyDescent="0.7">
      <c r="A651" s="2">
        <v>650</v>
      </c>
      <c r="B651" s="8" t="s">
        <v>10</v>
      </c>
      <c r="C651" s="10" t="s">
        <v>2008</v>
      </c>
      <c r="D651" s="3"/>
      <c r="E651" s="3">
        <v>5</v>
      </c>
      <c r="F651" s="3">
        <f t="shared" si="100"/>
        <v>93</v>
      </c>
      <c r="G651" s="3" t="s">
        <v>2009</v>
      </c>
      <c r="H651" s="5" t="s">
        <v>55</v>
      </c>
    </row>
    <row r="652" spans="1:8" ht="21" x14ac:dyDescent="0.7">
      <c r="A652" s="2">
        <v>651</v>
      </c>
      <c r="B652" s="8" t="s">
        <v>10</v>
      </c>
      <c r="C652" s="10" t="s">
        <v>2011</v>
      </c>
      <c r="D652" s="3"/>
      <c r="E652" s="3">
        <v>2</v>
      </c>
      <c r="F652" s="3">
        <f t="shared" si="100"/>
        <v>91</v>
      </c>
      <c r="G652" s="3">
        <v>6279</v>
      </c>
      <c r="H652" s="5" t="s">
        <v>1715</v>
      </c>
    </row>
    <row r="653" spans="1:8" ht="21" x14ac:dyDescent="0.7">
      <c r="A653" s="2">
        <v>652</v>
      </c>
      <c r="B653" s="8" t="s">
        <v>10</v>
      </c>
      <c r="C653" s="10" t="s">
        <v>2014</v>
      </c>
      <c r="D653" s="3"/>
      <c r="E653" s="3">
        <v>6</v>
      </c>
      <c r="F653" s="3">
        <f t="shared" si="100"/>
        <v>85</v>
      </c>
      <c r="G653" s="3" t="s">
        <v>2015</v>
      </c>
      <c r="H653" s="5" t="s">
        <v>55</v>
      </c>
    </row>
    <row r="654" spans="1:8" ht="21" x14ac:dyDescent="0.7">
      <c r="A654" s="2">
        <v>653</v>
      </c>
      <c r="B654" s="8" t="s">
        <v>10</v>
      </c>
      <c r="C654" s="10" t="s">
        <v>2016</v>
      </c>
      <c r="D654" s="3"/>
      <c r="E654" s="3">
        <v>6</v>
      </c>
      <c r="F654" s="3">
        <f>F653-E654</f>
        <v>79</v>
      </c>
      <c r="G654" s="3">
        <v>6287</v>
      </c>
      <c r="H654" s="5" t="s">
        <v>2017</v>
      </c>
    </row>
    <row r="655" spans="1:8" ht="21" x14ac:dyDescent="0.7">
      <c r="A655" s="2">
        <v>654</v>
      </c>
      <c r="B655" s="8" t="s">
        <v>10</v>
      </c>
      <c r="C655" s="10" t="s">
        <v>2021</v>
      </c>
      <c r="D655" s="3"/>
      <c r="E655" s="3">
        <v>2</v>
      </c>
      <c r="F655" s="3">
        <f>F654-E655</f>
        <v>77</v>
      </c>
      <c r="G655" s="3" t="s">
        <v>2023</v>
      </c>
      <c r="H655" s="5" t="s">
        <v>2022</v>
      </c>
    </row>
    <row r="656" spans="1:8" ht="21" x14ac:dyDescent="0.7">
      <c r="A656" s="2">
        <v>655</v>
      </c>
      <c r="B656" s="8" t="s">
        <v>10</v>
      </c>
      <c r="C656" s="10" t="s">
        <v>2019</v>
      </c>
      <c r="D656" s="3"/>
      <c r="E656" s="3">
        <v>2</v>
      </c>
      <c r="F656" s="3">
        <f>F655-E656</f>
        <v>75</v>
      </c>
      <c r="G656" s="3" t="s">
        <v>2025</v>
      </c>
      <c r="H656" s="5" t="s">
        <v>49</v>
      </c>
    </row>
    <row r="657" spans="1:9" ht="21" x14ac:dyDescent="0.7">
      <c r="A657" s="2">
        <v>656</v>
      </c>
      <c r="B657" s="8" t="s">
        <v>10</v>
      </c>
      <c r="C657" s="10" t="s">
        <v>2019</v>
      </c>
      <c r="D657" s="3">
        <v>983</v>
      </c>
      <c r="E657" s="3"/>
      <c r="F657" s="3">
        <f>D657+F656</f>
        <v>1058</v>
      </c>
      <c r="G657" s="3"/>
      <c r="H657" s="25" t="s">
        <v>2018</v>
      </c>
    </row>
    <row r="658" spans="1:9" ht="21" x14ac:dyDescent="0.7">
      <c r="A658" s="2">
        <v>657</v>
      </c>
      <c r="B658" s="8" t="s">
        <v>10</v>
      </c>
      <c r="C658" s="10" t="s">
        <v>2026</v>
      </c>
      <c r="D658" s="3"/>
      <c r="E658" s="3">
        <v>859</v>
      </c>
      <c r="F658" s="3">
        <f t="shared" ref="F658:F663" si="101">F657-E658</f>
        <v>199</v>
      </c>
      <c r="G658" s="3" t="s">
        <v>1856</v>
      </c>
      <c r="H658" s="5" t="s">
        <v>80</v>
      </c>
      <c r="I658" t="s">
        <v>2062</v>
      </c>
    </row>
    <row r="659" spans="1:9" ht="21" x14ac:dyDescent="0.7">
      <c r="A659" s="2">
        <v>658</v>
      </c>
      <c r="B659" s="8" t="s">
        <v>10</v>
      </c>
      <c r="C659" s="10" t="s">
        <v>2026</v>
      </c>
      <c r="D659" s="3"/>
      <c r="E659" s="3">
        <v>4</v>
      </c>
      <c r="F659" s="3">
        <f t="shared" si="101"/>
        <v>195</v>
      </c>
      <c r="G659" s="3" t="s">
        <v>2027</v>
      </c>
      <c r="H659" s="5" t="s">
        <v>2028</v>
      </c>
    </row>
    <row r="660" spans="1:9" ht="21" x14ac:dyDescent="0.7">
      <c r="A660" s="2">
        <v>659</v>
      </c>
      <c r="B660" s="8" t="s">
        <v>10</v>
      </c>
      <c r="C660" s="10" t="s">
        <v>2029</v>
      </c>
      <c r="D660" s="3"/>
      <c r="E660" s="3">
        <v>1</v>
      </c>
      <c r="F660" s="3">
        <f t="shared" si="101"/>
        <v>194</v>
      </c>
      <c r="G660" s="3" t="s">
        <v>2030</v>
      </c>
      <c r="H660" s="5" t="s">
        <v>2022</v>
      </c>
    </row>
    <row r="661" spans="1:9" ht="21" x14ac:dyDescent="0.7">
      <c r="A661" s="2">
        <v>660</v>
      </c>
      <c r="B661" s="8" t="s">
        <v>10</v>
      </c>
      <c r="C661" s="10" t="s">
        <v>2032</v>
      </c>
      <c r="D661" s="3"/>
      <c r="E661" s="3">
        <v>50</v>
      </c>
      <c r="F661" s="3">
        <f t="shared" si="101"/>
        <v>144</v>
      </c>
      <c r="G661" s="3">
        <v>6298</v>
      </c>
      <c r="H661" s="5" t="s">
        <v>704</v>
      </c>
    </row>
    <row r="662" spans="1:9" ht="21" x14ac:dyDescent="0.7">
      <c r="A662" s="2">
        <v>661</v>
      </c>
      <c r="B662" s="8" t="s">
        <v>10</v>
      </c>
      <c r="C662" s="10" t="s">
        <v>2033</v>
      </c>
      <c r="D662" s="3"/>
      <c r="E662" s="3">
        <v>6</v>
      </c>
      <c r="F662" s="3">
        <f t="shared" si="101"/>
        <v>138</v>
      </c>
      <c r="G662" s="3" t="s">
        <v>2034</v>
      </c>
      <c r="H662" s="5" t="s">
        <v>55</v>
      </c>
    </row>
    <row r="663" spans="1:9" ht="21" x14ac:dyDescent="0.7">
      <c r="A663" s="2">
        <v>662</v>
      </c>
      <c r="B663" s="8" t="s">
        <v>10</v>
      </c>
      <c r="C663" s="10" t="s">
        <v>2035</v>
      </c>
      <c r="D663" s="3"/>
      <c r="E663" s="3">
        <v>1</v>
      </c>
      <c r="F663" s="3">
        <f t="shared" si="101"/>
        <v>137</v>
      </c>
      <c r="G663" s="3">
        <v>6299</v>
      </c>
      <c r="H663" s="5" t="s">
        <v>149</v>
      </c>
    </row>
    <row r="664" spans="1:9" ht="21" x14ac:dyDescent="0.7">
      <c r="A664" s="2">
        <v>663</v>
      </c>
      <c r="B664" s="8" t="s">
        <v>10</v>
      </c>
      <c r="C664" s="10" t="s">
        <v>2035</v>
      </c>
      <c r="D664" s="3"/>
      <c r="E664" s="3">
        <v>2</v>
      </c>
      <c r="F664" s="3">
        <f t="shared" ref="F664:F669" si="102">F663-E664</f>
        <v>135</v>
      </c>
      <c r="G664" s="3">
        <v>6300</v>
      </c>
      <c r="H664" s="5" t="s">
        <v>1981</v>
      </c>
    </row>
    <row r="665" spans="1:9" ht="21" x14ac:dyDescent="0.7">
      <c r="A665" s="2">
        <v>664</v>
      </c>
      <c r="B665" s="8" t="s">
        <v>10</v>
      </c>
      <c r="C665" s="10" t="s">
        <v>2036</v>
      </c>
      <c r="D665" s="3"/>
      <c r="E665" s="3">
        <v>4</v>
      </c>
      <c r="F665" s="3">
        <f t="shared" si="102"/>
        <v>131</v>
      </c>
      <c r="G665" s="3">
        <v>6305</v>
      </c>
      <c r="H665" s="5" t="s">
        <v>150</v>
      </c>
    </row>
    <row r="666" spans="1:9" ht="21" x14ac:dyDescent="0.7">
      <c r="A666" s="2">
        <v>665</v>
      </c>
      <c r="B666" s="8" t="s">
        <v>10</v>
      </c>
      <c r="C666" s="10" t="s">
        <v>2037</v>
      </c>
      <c r="D666" s="3"/>
      <c r="E666" s="3">
        <v>20</v>
      </c>
      <c r="F666" s="3">
        <f t="shared" si="102"/>
        <v>111</v>
      </c>
      <c r="G666" s="3">
        <v>6307</v>
      </c>
      <c r="H666" s="5" t="s">
        <v>1247</v>
      </c>
    </row>
    <row r="667" spans="1:9" ht="21" x14ac:dyDescent="0.7">
      <c r="A667" s="2">
        <v>666</v>
      </c>
      <c r="B667" s="8" t="s">
        <v>10</v>
      </c>
      <c r="C667" s="10" t="s">
        <v>2039</v>
      </c>
      <c r="D667" s="3"/>
      <c r="E667" s="3">
        <v>10</v>
      </c>
      <c r="F667" s="3">
        <f t="shared" si="102"/>
        <v>101</v>
      </c>
      <c r="G667" s="3">
        <v>6309</v>
      </c>
      <c r="H667" s="5" t="s">
        <v>1390</v>
      </c>
    </row>
    <row r="668" spans="1:9" ht="21" x14ac:dyDescent="0.7">
      <c r="A668" s="2">
        <v>667</v>
      </c>
      <c r="B668" s="8" t="s">
        <v>10</v>
      </c>
      <c r="C668" s="10" t="s">
        <v>2040</v>
      </c>
      <c r="D668" s="3"/>
      <c r="E668" s="3">
        <v>10</v>
      </c>
      <c r="F668" s="3">
        <f t="shared" si="102"/>
        <v>91</v>
      </c>
      <c r="G668" s="3">
        <v>6310</v>
      </c>
      <c r="H668" s="5" t="s">
        <v>149</v>
      </c>
    </row>
    <row r="669" spans="1:9" ht="21" x14ac:dyDescent="0.7">
      <c r="A669" s="2">
        <v>668</v>
      </c>
      <c r="B669" s="8" t="s">
        <v>10</v>
      </c>
      <c r="C669" s="10" t="s">
        <v>2044</v>
      </c>
      <c r="D669" s="3"/>
      <c r="E669" s="3">
        <v>2</v>
      </c>
      <c r="F669" s="3">
        <f t="shared" si="102"/>
        <v>89</v>
      </c>
      <c r="G669" s="3">
        <v>6313</v>
      </c>
      <c r="H669" s="5" t="s">
        <v>1598</v>
      </c>
    </row>
    <row r="670" spans="1:9" ht="21" x14ac:dyDescent="0.7">
      <c r="A670" s="2">
        <v>669</v>
      </c>
      <c r="B670" s="8" t="s">
        <v>10</v>
      </c>
      <c r="C670" s="10" t="s">
        <v>2045</v>
      </c>
      <c r="D670" s="3"/>
      <c r="E670" s="3">
        <v>6</v>
      </c>
      <c r="F670" s="3">
        <f t="shared" ref="F670:F675" si="103">F669-E670</f>
        <v>83</v>
      </c>
      <c r="G670" s="3" t="s">
        <v>2046</v>
      </c>
      <c r="H670" s="5" t="s">
        <v>55</v>
      </c>
    </row>
    <row r="671" spans="1:9" ht="21" x14ac:dyDescent="0.7">
      <c r="A671" s="2">
        <v>670</v>
      </c>
      <c r="B671" s="8" t="s">
        <v>10</v>
      </c>
      <c r="C671" s="10" t="s">
        <v>2055</v>
      </c>
      <c r="D671" s="3"/>
      <c r="E671" s="3">
        <v>2</v>
      </c>
      <c r="F671" s="3">
        <f t="shared" si="103"/>
        <v>81</v>
      </c>
      <c r="G671" s="3">
        <v>6321</v>
      </c>
      <c r="H671" s="5" t="s">
        <v>1981</v>
      </c>
    </row>
    <row r="672" spans="1:9" ht="21" x14ac:dyDescent="0.7">
      <c r="A672" s="2">
        <v>671</v>
      </c>
      <c r="B672" s="8" t="s">
        <v>10</v>
      </c>
      <c r="C672" s="10" t="s">
        <v>2056</v>
      </c>
      <c r="D672" s="3"/>
      <c r="E672" s="3">
        <v>3</v>
      </c>
      <c r="F672" s="3">
        <f t="shared" si="103"/>
        <v>78</v>
      </c>
      <c r="G672" s="3">
        <v>6322</v>
      </c>
      <c r="H672" s="5" t="s">
        <v>1142</v>
      </c>
    </row>
    <row r="673" spans="1:8" ht="21" x14ac:dyDescent="0.7">
      <c r="A673" s="2">
        <v>672</v>
      </c>
      <c r="B673" s="8" t="s">
        <v>10</v>
      </c>
      <c r="C673" s="10" t="s">
        <v>2053</v>
      </c>
      <c r="D673" s="3"/>
      <c r="E673" s="3">
        <v>2</v>
      </c>
      <c r="F673" s="3">
        <f t="shared" si="103"/>
        <v>76</v>
      </c>
      <c r="G673" s="3">
        <v>6323</v>
      </c>
      <c r="H673" s="5" t="s">
        <v>2057</v>
      </c>
    </row>
    <row r="674" spans="1:8" ht="21" x14ac:dyDescent="0.7">
      <c r="A674" s="2">
        <v>673</v>
      </c>
      <c r="B674" s="8" t="s">
        <v>10</v>
      </c>
      <c r="C674" s="10" t="s">
        <v>2058</v>
      </c>
      <c r="D674" s="3"/>
      <c r="E674" s="3">
        <v>4</v>
      </c>
      <c r="F674" s="3">
        <f t="shared" si="103"/>
        <v>72</v>
      </c>
      <c r="G674" s="3" t="s">
        <v>2059</v>
      </c>
      <c r="H674" s="5" t="s">
        <v>55</v>
      </c>
    </row>
    <row r="675" spans="1:8" ht="21" x14ac:dyDescent="0.7">
      <c r="A675" s="2">
        <v>674</v>
      </c>
      <c r="B675" s="8" t="s">
        <v>10</v>
      </c>
      <c r="C675" s="10" t="s">
        <v>2064</v>
      </c>
      <c r="D675" s="3"/>
      <c r="E675" s="3">
        <v>5</v>
      </c>
      <c r="F675" s="3">
        <f t="shared" si="103"/>
        <v>67</v>
      </c>
      <c r="G675" s="3">
        <v>6330</v>
      </c>
      <c r="H675" s="5" t="s">
        <v>1614</v>
      </c>
    </row>
    <row r="676" spans="1:8" ht="21" x14ac:dyDescent="0.7">
      <c r="A676" s="2">
        <v>675</v>
      </c>
      <c r="B676" s="8" t="s">
        <v>10</v>
      </c>
      <c r="C676" s="10" t="s">
        <v>2065</v>
      </c>
      <c r="D676" s="3"/>
      <c r="E676" s="3">
        <v>48</v>
      </c>
      <c r="F676" s="3">
        <f>F675-E676</f>
        <v>19</v>
      </c>
      <c r="G676" s="3">
        <v>6331</v>
      </c>
      <c r="H676" s="5" t="s">
        <v>1673</v>
      </c>
    </row>
    <row r="677" spans="1:8" ht="21" x14ac:dyDescent="0.7">
      <c r="A677" s="2">
        <v>676</v>
      </c>
      <c r="B677" s="8" t="s">
        <v>10</v>
      </c>
      <c r="C677" s="10" t="s">
        <v>2066</v>
      </c>
      <c r="D677" s="3"/>
      <c r="E677" s="3">
        <v>6</v>
      </c>
      <c r="F677" s="3">
        <f>F676-E677</f>
        <v>13</v>
      </c>
      <c r="G677" s="3" t="s">
        <v>2067</v>
      </c>
      <c r="H677" s="5" t="s">
        <v>55</v>
      </c>
    </row>
    <row r="678" spans="1:8" ht="21" x14ac:dyDescent="0.7">
      <c r="A678" s="2">
        <v>677</v>
      </c>
      <c r="B678" s="8" t="s">
        <v>10</v>
      </c>
      <c r="C678" s="10" t="s">
        <v>2068</v>
      </c>
      <c r="D678" s="3"/>
      <c r="E678" s="3">
        <v>1</v>
      </c>
      <c r="F678" s="3">
        <f>F677-E678</f>
        <v>12</v>
      </c>
      <c r="G678" s="3" t="s">
        <v>2069</v>
      </c>
      <c r="H678" s="5" t="s">
        <v>55</v>
      </c>
    </row>
    <row r="679" spans="1:8" ht="21" x14ac:dyDescent="0.7">
      <c r="A679" s="2">
        <v>678</v>
      </c>
      <c r="B679" s="8" t="s">
        <v>10</v>
      </c>
      <c r="C679" s="10" t="s">
        <v>2070</v>
      </c>
      <c r="D679" s="3"/>
      <c r="E679" s="3">
        <v>5</v>
      </c>
      <c r="F679" s="3">
        <f>F678-E679</f>
        <v>7</v>
      </c>
      <c r="G679" s="3">
        <v>6333</v>
      </c>
      <c r="H679" s="5" t="s">
        <v>1450</v>
      </c>
    </row>
    <row r="680" spans="1:8" ht="21" x14ac:dyDescent="0.7">
      <c r="A680" s="2">
        <v>679</v>
      </c>
      <c r="B680" s="8" t="s">
        <v>10</v>
      </c>
      <c r="C680" s="10" t="s">
        <v>2070</v>
      </c>
      <c r="D680" s="3"/>
      <c r="E680" s="3">
        <v>7</v>
      </c>
      <c r="F680" s="3">
        <f>F679-E680</f>
        <v>0</v>
      </c>
      <c r="G680" s="3">
        <v>6334</v>
      </c>
      <c r="H680" s="5" t="s">
        <v>46</v>
      </c>
    </row>
    <row r="681" spans="1:8" ht="21" x14ac:dyDescent="0.7">
      <c r="A681" s="2">
        <v>680</v>
      </c>
      <c r="B681" s="8" t="s">
        <v>10</v>
      </c>
      <c r="C681" s="10" t="s">
        <v>2080</v>
      </c>
      <c r="D681" s="3">
        <v>1320</v>
      </c>
      <c r="E681" s="3"/>
      <c r="F681" s="3">
        <v>1320</v>
      </c>
      <c r="G681" s="3"/>
      <c r="H681" s="19" t="s">
        <v>2081</v>
      </c>
    </row>
    <row r="682" spans="1:8" ht="21" x14ac:dyDescent="0.7">
      <c r="A682" s="2">
        <v>681</v>
      </c>
      <c r="B682" s="8" t="s">
        <v>10</v>
      </c>
      <c r="C682" s="10" t="s">
        <v>2084</v>
      </c>
      <c r="D682" s="3"/>
      <c r="E682" s="3">
        <v>12</v>
      </c>
      <c r="F682" s="3">
        <f t="shared" ref="F682:F687" si="104">F681-E682</f>
        <v>1308</v>
      </c>
      <c r="G682" s="3" t="s">
        <v>2085</v>
      </c>
      <c r="H682" s="5" t="s">
        <v>55</v>
      </c>
    </row>
    <row r="683" spans="1:8" ht="21" x14ac:dyDescent="0.7">
      <c r="A683" s="2">
        <v>682</v>
      </c>
      <c r="B683" s="8" t="s">
        <v>10</v>
      </c>
      <c r="C683" s="10" t="s">
        <v>2090</v>
      </c>
      <c r="D683" s="3"/>
      <c r="E683" s="3">
        <v>313</v>
      </c>
      <c r="F683" s="3">
        <f t="shared" si="104"/>
        <v>995</v>
      </c>
      <c r="G683" s="3">
        <v>34</v>
      </c>
      <c r="H683" s="5" t="s">
        <v>80</v>
      </c>
    </row>
    <row r="684" spans="1:8" ht="21" x14ac:dyDescent="0.7">
      <c r="A684" s="2">
        <v>683</v>
      </c>
      <c r="B684" s="8" t="s">
        <v>10</v>
      </c>
      <c r="C684" s="10" t="s">
        <v>2095</v>
      </c>
      <c r="D684" s="3"/>
      <c r="E684" s="3">
        <v>70</v>
      </c>
      <c r="F684" s="3">
        <f t="shared" si="104"/>
        <v>925</v>
      </c>
      <c r="G684" s="3">
        <v>6366</v>
      </c>
      <c r="H684" s="5" t="s">
        <v>1395</v>
      </c>
    </row>
    <row r="685" spans="1:8" ht="21" x14ac:dyDescent="0.7">
      <c r="A685" s="2">
        <v>684</v>
      </c>
      <c r="B685" s="8" t="s">
        <v>10</v>
      </c>
      <c r="C685" s="10" t="s">
        <v>2090</v>
      </c>
      <c r="D685" s="3"/>
      <c r="E685" s="3">
        <v>10</v>
      </c>
      <c r="F685" s="3">
        <f t="shared" si="104"/>
        <v>915</v>
      </c>
      <c r="G685" s="3">
        <v>6365</v>
      </c>
      <c r="H685" s="5" t="s">
        <v>2096</v>
      </c>
    </row>
    <row r="686" spans="1:8" ht="21" x14ac:dyDescent="0.7">
      <c r="A686" s="2">
        <v>685</v>
      </c>
      <c r="B686" s="8" t="s">
        <v>10</v>
      </c>
      <c r="C686" s="10" t="s">
        <v>2090</v>
      </c>
      <c r="D686" s="3"/>
      <c r="E686" s="3">
        <v>10</v>
      </c>
      <c r="F686" s="3">
        <f t="shared" si="104"/>
        <v>905</v>
      </c>
      <c r="G686" s="3">
        <v>6363</v>
      </c>
      <c r="H686" s="5" t="s">
        <v>43</v>
      </c>
    </row>
    <row r="687" spans="1:8" ht="21" x14ac:dyDescent="0.7">
      <c r="A687" s="2">
        <v>686</v>
      </c>
      <c r="B687" s="8" t="s">
        <v>10</v>
      </c>
      <c r="C687" s="10" t="s">
        <v>2090</v>
      </c>
      <c r="D687" s="3"/>
      <c r="E687" s="3">
        <v>1</v>
      </c>
      <c r="F687" s="3">
        <f t="shared" si="104"/>
        <v>904</v>
      </c>
      <c r="G687" s="3">
        <v>6362</v>
      </c>
      <c r="H687" s="5" t="s">
        <v>124</v>
      </c>
    </row>
    <row r="688" spans="1:8" ht="21" x14ac:dyDescent="0.7">
      <c r="A688" s="2">
        <v>687</v>
      </c>
      <c r="B688" s="8" t="s">
        <v>10</v>
      </c>
      <c r="C688" s="10" t="s">
        <v>2090</v>
      </c>
      <c r="D688" s="3"/>
      <c r="E688" s="3">
        <v>4</v>
      </c>
      <c r="F688" s="3">
        <f t="shared" ref="F688:F693" si="105">F687-E688</f>
        <v>900</v>
      </c>
      <c r="G688" s="3">
        <v>6360</v>
      </c>
      <c r="H688" s="5" t="s">
        <v>2098</v>
      </c>
    </row>
    <row r="689" spans="1:8" ht="21" x14ac:dyDescent="0.7">
      <c r="A689" s="2">
        <v>688</v>
      </c>
      <c r="B689" s="8" t="s">
        <v>10</v>
      </c>
      <c r="C689" s="10" t="s">
        <v>2090</v>
      </c>
      <c r="D689" s="3"/>
      <c r="E689" s="3">
        <v>3</v>
      </c>
      <c r="F689" s="3">
        <f t="shared" si="105"/>
        <v>897</v>
      </c>
      <c r="G689" s="3">
        <v>6359</v>
      </c>
      <c r="H689" s="5" t="s">
        <v>2099</v>
      </c>
    </row>
    <row r="690" spans="1:8" ht="21" x14ac:dyDescent="0.7">
      <c r="A690" s="2">
        <v>689</v>
      </c>
      <c r="B690" s="8" t="s">
        <v>10</v>
      </c>
      <c r="C690" s="10" t="s">
        <v>2090</v>
      </c>
      <c r="D690" s="3"/>
      <c r="E690" s="3">
        <v>14</v>
      </c>
      <c r="F690" s="3">
        <f t="shared" si="105"/>
        <v>883</v>
      </c>
      <c r="G690" s="3">
        <v>6358</v>
      </c>
      <c r="H690" s="5" t="s">
        <v>1390</v>
      </c>
    </row>
    <row r="691" spans="1:8" ht="21" x14ac:dyDescent="0.7">
      <c r="A691" s="2">
        <v>690</v>
      </c>
      <c r="B691" s="8" t="s">
        <v>10</v>
      </c>
      <c r="C691" s="10" t="s">
        <v>2090</v>
      </c>
      <c r="D691" s="3"/>
      <c r="E691" s="3">
        <v>9</v>
      </c>
      <c r="F691" s="3">
        <f t="shared" si="105"/>
        <v>874</v>
      </c>
      <c r="G691" s="3">
        <v>6357</v>
      </c>
      <c r="H691" s="5" t="s">
        <v>1450</v>
      </c>
    </row>
    <row r="692" spans="1:8" ht="21" x14ac:dyDescent="0.7">
      <c r="A692" s="2">
        <v>691</v>
      </c>
      <c r="B692" s="8" t="s">
        <v>10</v>
      </c>
      <c r="C692" s="10" t="s">
        <v>2090</v>
      </c>
      <c r="D692" s="3"/>
      <c r="E692" s="3">
        <v>9</v>
      </c>
      <c r="F692" s="3">
        <f t="shared" si="105"/>
        <v>865</v>
      </c>
      <c r="G692" s="3">
        <v>6356</v>
      </c>
      <c r="H692" s="5" t="s">
        <v>1450</v>
      </c>
    </row>
    <row r="693" spans="1:8" ht="21" x14ac:dyDescent="0.7">
      <c r="A693" s="2">
        <v>692</v>
      </c>
      <c r="B693" s="8" t="s">
        <v>10</v>
      </c>
      <c r="C693" s="10" t="s">
        <v>2103</v>
      </c>
      <c r="D693" s="3"/>
      <c r="E693" s="3">
        <v>2</v>
      </c>
      <c r="F693" s="3">
        <f t="shared" si="105"/>
        <v>863</v>
      </c>
      <c r="G693" s="3">
        <v>6371</v>
      </c>
      <c r="H693" s="5" t="s">
        <v>791</v>
      </c>
    </row>
    <row r="694" spans="1:8" ht="21" x14ac:dyDescent="0.7">
      <c r="A694" s="2">
        <v>693</v>
      </c>
      <c r="B694" s="8" t="s">
        <v>10</v>
      </c>
      <c r="C694" s="10" t="s">
        <v>2106</v>
      </c>
      <c r="D694" s="3"/>
      <c r="E694" s="3">
        <v>1</v>
      </c>
      <c r="F694" s="3">
        <f t="shared" ref="F694:F699" si="106">F693-E694</f>
        <v>862</v>
      </c>
      <c r="G694" s="3">
        <v>6387</v>
      </c>
      <c r="H694" s="5" t="s">
        <v>1715</v>
      </c>
    </row>
    <row r="695" spans="1:8" ht="21" x14ac:dyDescent="0.7">
      <c r="A695" s="2">
        <v>694</v>
      </c>
      <c r="B695" s="8" t="s">
        <v>10</v>
      </c>
      <c r="C695" s="10" t="s">
        <v>2106</v>
      </c>
      <c r="D695" s="3"/>
      <c r="E695" s="3">
        <v>1</v>
      </c>
      <c r="F695" s="3">
        <f t="shared" si="106"/>
        <v>861</v>
      </c>
      <c r="G695" s="3">
        <v>6388</v>
      </c>
      <c r="H695" s="5" t="s">
        <v>2107</v>
      </c>
    </row>
    <row r="696" spans="1:8" ht="21" x14ac:dyDescent="0.7">
      <c r="A696" s="2">
        <v>695</v>
      </c>
      <c r="B696" s="8" t="s">
        <v>10</v>
      </c>
      <c r="C696" s="10" t="s">
        <v>2111</v>
      </c>
      <c r="D696" s="3"/>
      <c r="E696" s="3">
        <v>1</v>
      </c>
      <c r="F696" s="3">
        <f t="shared" si="106"/>
        <v>860</v>
      </c>
      <c r="G696" s="3">
        <v>6401</v>
      </c>
      <c r="H696" s="5" t="s">
        <v>1764</v>
      </c>
    </row>
    <row r="697" spans="1:8" ht="21" x14ac:dyDescent="0.7">
      <c r="A697" s="2">
        <v>696</v>
      </c>
      <c r="B697" s="8" t="s">
        <v>10</v>
      </c>
      <c r="C697" s="10" t="s">
        <v>2111</v>
      </c>
      <c r="D697" s="3"/>
      <c r="E697" s="3">
        <v>1</v>
      </c>
      <c r="F697" s="3">
        <f t="shared" si="106"/>
        <v>859</v>
      </c>
      <c r="G697" s="3">
        <v>6402</v>
      </c>
      <c r="H697" s="5" t="s">
        <v>150</v>
      </c>
    </row>
    <row r="698" spans="1:8" ht="21" x14ac:dyDescent="0.7">
      <c r="A698" s="2">
        <v>697</v>
      </c>
      <c r="B698" s="8" t="s">
        <v>10</v>
      </c>
      <c r="C698" s="10" t="s">
        <v>2115</v>
      </c>
      <c r="D698" s="3"/>
      <c r="E698" s="3">
        <v>1</v>
      </c>
      <c r="F698" s="3">
        <f t="shared" si="106"/>
        <v>858</v>
      </c>
      <c r="G698" s="3" t="s">
        <v>2116</v>
      </c>
      <c r="H698" s="5" t="s">
        <v>55</v>
      </c>
    </row>
    <row r="699" spans="1:8" ht="21" x14ac:dyDescent="0.7">
      <c r="A699" s="2">
        <v>698</v>
      </c>
      <c r="B699" s="8" t="s">
        <v>10</v>
      </c>
      <c r="C699" s="10" t="s">
        <v>2117</v>
      </c>
      <c r="D699" s="3"/>
      <c r="E699" s="3">
        <v>12</v>
      </c>
      <c r="F699" s="3">
        <f t="shared" si="106"/>
        <v>846</v>
      </c>
      <c r="G699" s="3" t="s">
        <v>2118</v>
      </c>
      <c r="H699" s="5" t="s">
        <v>55</v>
      </c>
    </row>
    <row r="700" spans="1:8" ht="21" x14ac:dyDescent="0.7">
      <c r="A700" s="2">
        <v>699</v>
      </c>
      <c r="B700" s="8" t="s">
        <v>10</v>
      </c>
      <c r="C700" s="10" t="s">
        <v>2119</v>
      </c>
      <c r="D700" s="3"/>
      <c r="E700" s="3">
        <v>1</v>
      </c>
      <c r="F700" s="3">
        <f t="shared" ref="F700:F703" si="107">F699-E700</f>
        <v>845</v>
      </c>
      <c r="G700" s="3">
        <v>6406</v>
      </c>
      <c r="H700" s="5" t="s">
        <v>234</v>
      </c>
    </row>
    <row r="701" spans="1:8" ht="21" x14ac:dyDescent="0.7">
      <c r="A701" s="2">
        <v>700</v>
      </c>
      <c r="B701" s="8" t="s">
        <v>10</v>
      </c>
      <c r="C701" s="10" t="s">
        <v>2123</v>
      </c>
      <c r="D701" s="3"/>
      <c r="E701" s="3">
        <v>150</v>
      </c>
      <c r="F701" s="3">
        <f t="shared" si="107"/>
        <v>695</v>
      </c>
      <c r="G701" s="3">
        <v>6414</v>
      </c>
      <c r="H701" s="5" t="s">
        <v>704</v>
      </c>
    </row>
    <row r="702" spans="1:8" ht="21" x14ac:dyDescent="0.7">
      <c r="A702" s="2">
        <v>701</v>
      </c>
      <c r="B702" s="8" t="s">
        <v>10</v>
      </c>
      <c r="C702" s="10" t="s">
        <v>2124</v>
      </c>
      <c r="D702" s="3"/>
      <c r="E702" s="3">
        <v>5</v>
      </c>
      <c r="F702" s="3">
        <f t="shared" si="107"/>
        <v>690</v>
      </c>
      <c r="G702" s="3">
        <v>6419</v>
      </c>
      <c r="H702" s="5" t="s">
        <v>738</v>
      </c>
    </row>
    <row r="703" spans="1:8" ht="21" x14ac:dyDescent="0.7">
      <c r="A703" s="2">
        <v>702</v>
      </c>
      <c r="B703" s="8" t="s">
        <v>10</v>
      </c>
      <c r="C703" s="10" t="s">
        <v>2125</v>
      </c>
      <c r="D703" s="3"/>
      <c r="E703" s="3">
        <v>12</v>
      </c>
      <c r="F703" s="3">
        <f t="shared" si="107"/>
        <v>678</v>
      </c>
      <c r="G703" s="3" t="s">
        <v>2126</v>
      </c>
      <c r="H703" s="5" t="s">
        <v>55</v>
      </c>
    </row>
    <row r="704" spans="1:8" ht="21" x14ac:dyDescent="0.7">
      <c r="A704" s="2">
        <v>703</v>
      </c>
      <c r="B704" s="8" t="s">
        <v>10</v>
      </c>
      <c r="C704" s="10" t="s">
        <v>2129</v>
      </c>
      <c r="D704" s="3"/>
      <c r="E704" s="3">
        <v>2</v>
      </c>
      <c r="F704" s="3">
        <f t="shared" ref="F704:F709" si="108">F703-E704</f>
        <v>676</v>
      </c>
      <c r="G704" s="3">
        <v>6422</v>
      </c>
      <c r="H704" s="5" t="s">
        <v>2130</v>
      </c>
    </row>
    <row r="705" spans="1:8" ht="21" x14ac:dyDescent="0.7">
      <c r="A705" s="2">
        <v>704</v>
      </c>
      <c r="B705" s="8" t="s">
        <v>10</v>
      </c>
      <c r="C705" s="10" t="s">
        <v>2132</v>
      </c>
      <c r="D705" s="3"/>
      <c r="E705" s="3">
        <v>90</v>
      </c>
      <c r="F705" s="3">
        <f t="shared" si="108"/>
        <v>586</v>
      </c>
      <c r="G705" s="3">
        <v>6424</v>
      </c>
      <c r="H705" s="5" t="s">
        <v>1450</v>
      </c>
    </row>
    <row r="706" spans="1:8" ht="21" x14ac:dyDescent="0.7">
      <c r="A706" s="2">
        <v>705</v>
      </c>
      <c r="B706" s="8" t="s">
        <v>10</v>
      </c>
      <c r="C706" s="10" t="s">
        <v>2133</v>
      </c>
      <c r="D706" s="3"/>
      <c r="E706" s="3">
        <v>1</v>
      </c>
      <c r="F706" s="3">
        <f t="shared" si="108"/>
        <v>585</v>
      </c>
      <c r="G706" s="3">
        <v>6425</v>
      </c>
      <c r="H706" s="5" t="s">
        <v>2134</v>
      </c>
    </row>
    <row r="707" spans="1:8" ht="21" x14ac:dyDescent="0.7">
      <c r="A707" s="2">
        <v>706</v>
      </c>
      <c r="B707" s="8" t="s">
        <v>10</v>
      </c>
      <c r="C707" s="10" t="s">
        <v>2135</v>
      </c>
      <c r="D707" s="3"/>
      <c r="E707" s="3">
        <v>1</v>
      </c>
      <c r="F707" s="3">
        <f t="shared" si="108"/>
        <v>584</v>
      </c>
      <c r="G707" s="3">
        <v>6427</v>
      </c>
      <c r="H707" s="5" t="s">
        <v>66</v>
      </c>
    </row>
    <row r="708" spans="1:8" ht="21" x14ac:dyDescent="0.7">
      <c r="A708" s="2">
        <v>707</v>
      </c>
      <c r="B708" s="8" t="s">
        <v>10</v>
      </c>
      <c r="C708" s="10" t="s">
        <v>2136</v>
      </c>
      <c r="D708" s="3"/>
      <c r="E708" s="3">
        <v>1</v>
      </c>
      <c r="F708" s="3">
        <f t="shared" si="108"/>
        <v>583</v>
      </c>
      <c r="G708" s="3">
        <v>6430</v>
      </c>
      <c r="H708" s="5" t="s">
        <v>1194</v>
      </c>
    </row>
    <row r="709" spans="1:8" ht="21" x14ac:dyDescent="0.7">
      <c r="A709" s="2">
        <v>708</v>
      </c>
      <c r="B709" s="8" t="s">
        <v>10</v>
      </c>
      <c r="C709" s="10" t="s">
        <v>2140</v>
      </c>
      <c r="D709" s="3"/>
      <c r="E709" s="3">
        <v>9</v>
      </c>
      <c r="F709" s="3">
        <f t="shared" si="108"/>
        <v>574</v>
      </c>
      <c r="G709" s="3">
        <v>6432</v>
      </c>
      <c r="H709" s="5" t="s">
        <v>2141</v>
      </c>
    </row>
    <row r="710" spans="1:8" ht="21" x14ac:dyDescent="0.7">
      <c r="A710" s="2">
        <v>709</v>
      </c>
      <c r="B710" s="8" t="s">
        <v>10</v>
      </c>
      <c r="C710" s="10" t="s">
        <v>2142</v>
      </c>
      <c r="D710" s="3"/>
      <c r="E710" s="3">
        <v>10</v>
      </c>
      <c r="F710" s="3">
        <f t="shared" ref="F710:F715" si="109">F709-E710</f>
        <v>564</v>
      </c>
      <c r="G710" s="3">
        <v>6435</v>
      </c>
      <c r="H710" s="5" t="s">
        <v>849</v>
      </c>
    </row>
    <row r="711" spans="1:8" ht="21" x14ac:dyDescent="0.7">
      <c r="A711" s="2">
        <v>710</v>
      </c>
      <c r="B711" s="8" t="s">
        <v>10</v>
      </c>
      <c r="C711" s="10" t="s">
        <v>2145</v>
      </c>
      <c r="D711" s="3"/>
      <c r="E711" s="3">
        <v>3</v>
      </c>
      <c r="F711" s="3">
        <f t="shared" si="109"/>
        <v>561</v>
      </c>
      <c r="G711" s="3">
        <v>6437</v>
      </c>
      <c r="H711" s="5" t="s">
        <v>1142</v>
      </c>
    </row>
    <row r="712" spans="1:8" ht="21" x14ac:dyDescent="0.7">
      <c r="A712" s="2">
        <v>711</v>
      </c>
      <c r="B712" s="8" t="s">
        <v>10</v>
      </c>
      <c r="C712" s="10" t="s">
        <v>2145</v>
      </c>
      <c r="D712" s="3"/>
      <c r="E712" s="3">
        <v>1</v>
      </c>
      <c r="F712" s="3">
        <f t="shared" si="109"/>
        <v>560</v>
      </c>
      <c r="G712" s="3">
        <v>6438</v>
      </c>
      <c r="H712" s="5" t="s">
        <v>1764</v>
      </c>
    </row>
    <row r="713" spans="1:8" ht="21" x14ac:dyDescent="0.7">
      <c r="A713" s="2">
        <v>712</v>
      </c>
      <c r="B713" s="8" t="s">
        <v>10</v>
      </c>
      <c r="C713" s="10" t="s">
        <v>2146</v>
      </c>
      <c r="D713" s="3"/>
      <c r="E713" s="3">
        <v>1</v>
      </c>
      <c r="F713" s="3">
        <f t="shared" si="109"/>
        <v>559</v>
      </c>
      <c r="G713" s="3">
        <v>6439</v>
      </c>
      <c r="H713" s="5" t="s">
        <v>149</v>
      </c>
    </row>
    <row r="714" spans="1:8" ht="21" x14ac:dyDescent="0.7">
      <c r="A714" s="2">
        <v>713</v>
      </c>
      <c r="B714" s="8" t="s">
        <v>10</v>
      </c>
      <c r="C714" s="10" t="s">
        <v>2152</v>
      </c>
      <c r="D714" s="3"/>
      <c r="E714" s="3">
        <v>15</v>
      </c>
      <c r="F714" s="3">
        <f t="shared" si="109"/>
        <v>544</v>
      </c>
      <c r="G714" s="3">
        <v>6443</v>
      </c>
      <c r="H714" s="5" t="s">
        <v>43</v>
      </c>
    </row>
    <row r="715" spans="1:8" ht="21" x14ac:dyDescent="0.7">
      <c r="A715" s="2">
        <v>714</v>
      </c>
      <c r="B715" s="8" t="s">
        <v>10</v>
      </c>
      <c r="C715" s="10" t="s">
        <v>2149</v>
      </c>
      <c r="D715" s="3"/>
      <c r="E715" s="3">
        <v>3</v>
      </c>
      <c r="F715" s="3">
        <f t="shared" si="109"/>
        <v>541</v>
      </c>
      <c r="G715" s="3">
        <v>6445</v>
      </c>
      <c r="H715" s="5" t="s">
        <v>149</v>
      </c>
    </row>
    <row r="716" spans="1:8" ht="21" x14ac:dyDescent="0.7">
      <c r="A716" s="2">
        <v>715</v>
      </c>
      <c r="B716" s="8" t="s">
        <v>10</v>
      </c>
      <c r="C716" s="10" t="s">
        <v>2153</v>
      </c>
      <c r="D716" s="3"/>
      <c r="E716" s="3">
        <v>1</v>
      </c>
      <c r="F716" s="3">
        <f t="shared" ref="F716:F721" si="110">F715-E716</f>
        <v>540</v>
      </c>
      <c r="G716" s="3">
        <v>6449</v>
      </c>
      <c r="H716" s="5" t="s">
        <v>2154</v>
      </c>
    </row>
    <row r="717" spans="1:8" ht="21" x14ac:dyDescent="0.7">
      <c r="A717" s="2">
        <v>716</v>
      </c>
      <c r="B717" s="8" t="s">
        <v>10</v>
      </c>
      <c r="C717" s="10" t="s">
        <v>2153</v>
      </c>
      <c r="D717" s="3"/>
      <c r="E717" s="3">
        <v>50</v>
      </c>
      <c r="F717" s="3">
        <f t="shared" si="110"/>
        <v>490</v>
      </c>
      <c r="G717" s="3">
        <v>6451</v>
      </c>
      <c r="H717" s="5" t="s">
        <v>2155</v>
      </c>
    </row>
    <row r="718" spans="1:8" ht="21" x14ac:dyDescent="0.7">
      <c r="A718" s="2">
        <v>717</v>
      </c>
      <c r="B718" s="8" t="s">
        <v>10</v>
      </c>
      <c r="C718" s="10" t="s">
        <v>2157</v>
      </c>
      <c r="D718" s="3"/>
      <c r="E718" s="3">
        <v>250</v>
      </c>
      <c r="F718" s="3">
        <f t="shared" si="110"/>
        <v>240</v>
      </c>
      <c r="G718" s="3">
        <v>6455</v>
      </c>
      <c r="H718" s="5" t="s">
        <v>1675</v>
      </c>
    </row>
    <row r="719" spans="1:8" ht="21" x14ac:dyDescent="0.7">
      <c r="A719" s="2">
        <v>718</v>
      </c>
      <c r="B719" s="8" t="s">
        <v>10</v>
      </c>
      <c r="C719" s="10" t="s">
        <v>2158</v>
      </c>
      <c r="D719" s="3"/>
      <c r="E719" s="3">
        <v>10</v>
      </c>
      <c r="F719" s="3">
        <f t="shared" si="110"/>
        <v>230</v>
      </c>
      <c r="G719" s="3" t="s">
        <v>2159</v>
      </c>
      <c r="H719" s="5" t="s">
        <v>55</v>
      </c>
    </row>
    <row r="720" spans="1:8" ht="21" x14ac:dyDescent="0.7">
      <c r="A720" s="2">
        <v>719</v>
      </c>
      <c r="B720" s="8" t="s">
        <v>10</v>
      </c>
      <c r="C720" s="10" t="s">
        <v>2160</v>
      </c>
      <c r="D720" s="3"/>
      <c r="E720" s="3">
        <v>5</v>
      </c>
      <c r="F720" s="3">
        <f t="shared" si="110"/>
        <v>225</v>
      </c>
      <c r="G720" s="3">
        <v>6459</v>
      </c>
      <c r="H720" s="5" t="s">
        <v>2162</v>
      </c>
    </row>
    <row r="721" spans="1:8" ht="21" x14ac:dyDescent="0.7">
      <c r="A721" s="2">
        <v>720</v>
      </c>
      <c r="B721" s="8" t="s">
        <v>10</v>
      </c>
      <c r="C721" s="10" t="s">
        <v>2165</v>
      </c>
      <c r="D721" s="3"/>
      <c r="E721" s="3">
        <v>3</v>
      </c>
      <c r="F721" s="3">
        <f t="shared" si="110"/>
        <v>222</v>
      </c>
      <c r="G721" s="3">
        <v>6464</v>
      </c>
      <c r="H721" s="5" t="s">
        <v>1715</v>
      </c>
    </row>
    <row r="722" spans="1:8" ht="21" x14ac:dyDescent="0.7">
      <c r="A722" s="2">
        <v>721</v>
      </c>
      <c r="B722" s="8" t="s">
        <v>10</v>
      </c>
      <c r="C722" s="10" t="s">
        <v>2166</v>
      </c>
      <c r="D722" s="3"/>
      <c r="E722" s="3">
        <v>6</v>
      </c>
      <c r="F722" s="3">
        <f t="shared" ref="F722:F727" si="111">F721-E722</f>
        <v>216</v>
      </c>
      <c r="G722" s="3">
        <v>6469</v>
      </c>
      <c r="H722" s="5" t="s">
        <v>1355</v>
      </c>
    </row>
    <row r="723" spans="1:8" ht="21" x14ac:dyDescent="0.7">
      <c r="A723" s="2">
        <v>722</v>
      </c>
      <c r="B723" s="8" t="s">
        <v>10</v>
      </c>
      <c r="C723" s="10" t="s">
        <v>2169</v>
      </c>
      <c r="D723" s="3"/>
      <c r="E723" s="3">
        <v>8</v>
      </c>
      <c r="F723" s="3">
        <f t="shared" si="111"/>
        <v>208</v>
      </c>
      <c r="G723" s="3" t="s">
        <v>2170</v>
      </c>
      <c r="H723" s="5" t="s">
        <v>55</v>
      </c>
    </row>
    <row r="724" spans="1:8" ht="21" x14ac:dyDescent="0.7">
      <c r="A724" s="2">
        <v>723</v>
      </c>
      <c r="B724" s="8" t="s">
        <v>10</v>
      </c>
      <c r="C724" s="10" t="s">
        <v>2175</v>
      </c>
      <c r="D724" s="3"/>
      <c r="E724" s="3">
        <v>5</v>
      </c>
      <c r="F724" s="3">
        <f t="shared" si="111"/>
        <v>203</v>
      </c>
      <c r="G724" s="3">
        <v>6476</v>
      </c>
      <c r="H724" s="5" t="s">
        <v>149</v>
      </c>
    </row>
    <row r="725" spans="1:8" ht="21" x14ac:dyDescent="0.7">
      <c r="A725" s="2">
        <v>724</v>
      </c>
      <c r="B725" s="8" t="s">
        <v>10</v>
      </c>
      <c r="C725" s="10" t="s">
        <v>2175</v>
      </c>
      <c r="D725" s="3"/>
      <c r="E725" s="3">
        <v>3</v>
      </c>
      <c r="F725" s="3">
        <f t="shared" si="111"/>
        <v>200</v>
      </c>
      <c r="G725" s="3">
        <v>6477</v>
      </c>
      <c r="H725" s="5" t="s">
        <v>1715</v>
      </c>
    </row>
    <row r="726" spans="1:8" ht="21" x14ac:dyDescent="0.7">
      <c r="A726" s="2">
        <v>725</v>
      </c>
      <c r="B726" s="8" t="s">
        <v>10</v>
      </c>
      <c r="C726" s="10" t="s">
        <v>2177</v>
      </c>
      <c r="D726" s="3"/>
      <c r="E726" s="3">
        <v>4</v>
      </c>
      <c r="F726" s="3">
        <f t="shared" si="111"/>
        <v>196</v>
      </c>
      <c r="G726" s="3" t="s">
        <v>2178</v>
      </c>
      <c r="H726" s="5" t="s">
        <v>55</v>
      </c>
    </row>
    <row r="727" spans="1:8" ht="21" x14ac:dyDescent="0.7">
      <c r="A727" s="2">
        <v>726</v>
      </c>
      <c r="B727" s="8" t="s">
        <v>10</v>
      </c>
      <c r="C727" s="10" t="s">
        <v>2179</v>
      </c>
      <c r="D727" s="3"/>
      <c r="E727" s="3">
        <v>4</v>
      </c>
      <c r="F727" s="3">
        <f t="shared" si="111"/>
        <v>192</v>
      </c>
      <c r="G727" s="3">
        <v>6484</v>
      </c>
      <c r="H727" s="5" t="s">
        <v>1142</v>
      </c>
    </row>
    <row r="728" spans="1:8" ht="21" x14ac:dyDescent="0.7">
      <c r="A728" s="2">
        <v>727</v>
      </c>
      <c r="B728" s="8" t="s">
        <v>10</v>
      </c>
      <c r="C728" s="10" t="s">
        <v>2180</v>
      </c>
      <c r="D728" s="3"/>
      <c r="E728" s="3">
        <v>1</v>
      </c>
      <c r="F728" s="3">
        <f t="shared" ref="F728:F733" si="112">F727-E728</f>
        <v>191</v>
      </c>
      <c r="G728" s="3">
        <v>6486</v>
      </c>
      <c r="H728" s="5" t="s">
        <v>149</v>
      </c>
    </row>
    <row r="729" spans="1:8" ht="21" x14ac:dyDescent="0.7">
      <c r="A729" s="2">
        <v>728</v>
      </c>
      <c r="B729" s="8" t="s">
        <v>10</v>
      </c>
      <c r="C729" s="10" t="s">
        <v>2181</v>
      </c>
      <c r="D729" s="3"/>
      <c r="E729" s="3">
        <v>7</v>
      </c>
      <c r="F729" s="3">
        <f t="shared" si="112"/>
        <v>184</v>
      </c>
      <c r="G729" s="3" t="s">
        <v>2182</v>
      </c>
      <c r="H729" s="5" t="s">
        <v>55</v>
      </c>
    </row>
    <row r="730" spans="1:8" ht="21" x14ac:dyDescent="0.7">
      <c r="A730" s="2">
        <v>729</v>
      </c>
      <c r="B730" s="8" t="s">
        <v>10</v>
      </c>
      <c r="C730" s="10" t="s">
        <v>2183</v>
      </c>
      <c r="D730" s="3"/>
      <c r="E730" s="3">
        <v>5</v>
      </c>
      <c r="F730" s="3">
        <f t="shared" si="112"/>
        <v>179</v>
      </c>
      <c r="G730" s="3">
        <v>6497</v>
      </c>
      <c r="H730" s="5" t="s">
        <v>1096</v>
      </c>
    </row>
    <row r="731" spans="1:8" ht="21" x14ac:dyDescent="0.7">
      <c r="A731" s="2">
        <v>730</v>
      </c>
      <c r="B731" s="8" t="s">
        <v>10</v>
      </c>
      <c r="C731" s="10" t="s">
        <v>2184</v>
      </c>
      <c r="D731" s="3"/>
      <c r="E731" s="3">
        <v>1</v>
      </c>
      <c r="F731" s="3">
        <f t="shared" si="112"/>
        <v>178</v>
      </c>
      <c r="G731" s="3" t="s">
        <v>2185</v>
      </c>
      <c r="H731" s="5" t="s">
        <v>55</v>
      </c>
    </row>
    <row r="732" spans="1:8" ht="21" x14ac:dyDescent="0.7">
      <c r="A732" s="2">
        <v>731</v>
      </c>
      <c r="B732" s="8" t="s">
        <v>10</v>
      </c>
      <c r="C732" s="10" t="s">
        <v>2186</v>
      </c>
      <c r="D732" s="3"/>
      <c r="E732" s="3">
        <v>3</v>
      </c>
      <c r="F732" s="3">
        <f t="shared" si="112"/>
        <v>175</v>
      </c>
      <c r="G732" s="3">
        <v>6503</v>
      </c>
      <c r="H732" s="5" t="s">
        <v>1142</v>
      </c>
    </row>
    <row r="733" spans="1:8" ht="21" x14ac:dyDescent="0.7">
      <c r="A733" s="2">
        <v>732</v>
      </c>
      <c r="B733" s="8" t="s">
        <v>10</v>
      </c>
      <c r="C733" s="10" t="s">
        <v>2186</v>
      </c>
      <c r="D733" s="3"/>
      <c r="E733" s="3">
        <v>1</v>
      </c>
      <c r="F733" s="3">
        <f t="shared" si="112"/>
        <v>174</v>
      </c>
      <c r="G733" s="3">
        <v>6502</v>
      </c>
      <c r="H733" s="5" t="s">
        <v>1686</v>
      </c>
    </row>
    <row r="734" spans="1:8" ht="21" x14ac:dyDescent="0.7">
      <c r="A734" s="2">
        <v>733</v>
      </c>
      <c r="B734" s="8" t="s">
        <v>10</v>
      </c>
      <c r="C734" s="10" t="s">
        <v>2186</v>
      </c>
      <c r="D734" s="3"/>
      <c r="E734" s="3">
        <v>15</v>
      </c>
      <c r="F734" s="3">
        <f t="shared" ref="F734:F739" si="113">F733-E734</f>
        <v>159</v>
      </c>
      <c r="G734" s="3">
        <v>6501</v>
      </c>
      <c r="H734" s="5" t="s">
        <v>1247</v>
      </c>
    </row>
    <row r="735" spans="1:8" ht="21" x14ac:dyDescent="0.7">
      <c r="A735" s="2">
        <v>734</v>
      </c>
      <c r="B735" s="8" t="s">
        <v>10</v>
      </c>
      <c r="C735" s="10" t="s">
        <v>2186</v>
      </c>
      <c r="D735" s="3"/>
      <c r="E735" s="3">
        <v>2</v>
      </c>
      <c r="F735" s="3">
        <f t="shared" si="113"/>
        <v>157</v>
      </c>
      <c r="G735" s="3">
        <v>6499</v>
      </c>
      <c r="H735" s="5" t="s">
        <v>1715</v>
      </c>
    </row>
    <row r="736" spans="1:8" ht="21" x14ac:dyDescent="0.7">
      <c r="A736" s="2">
        <v>735</v>
      </c>
      <c r="B736" s="8" t="s">
        <v>10</v>
      </c>
      <c r="C736" s="10" t="s">
        <v>2190</v>
      </c>
      <c r="D736" s="3"/>
      <c r="E736" s="3">
        <v>1</v>
      </c>
      <c r="F736" s="3">
        <f t="shared" si="113"/>
        <v>156</v>
      </c>
      <c r="G736" s="3">
        <v>6508</v>
      </c>
      <c r="H736" s="5" t="s">
        <v>66</v>
      </c>
    </row>
    <row r="737" spans="1:8" ht="21" x14ac:dyDescent="0.7">
      <c r="A737" s="2">
        <v>736</v>
      </c>
      <c r="B737" s="8" t="s">
        <v>10</v>
      </c>
      <c r="C737" s="10" t="s">
        <v>2190</v>
      </c>
      <c r="D737" s="3"/>
      <c r="E737" s="3">
        <v>1</v>
      </c>
      <c r="F737" s="3">
        <f t="shared" si="113"/>
        <v>155</v>
      </c>
      <c r="G737" s="3">
        <v>6509</v>
      </c>
      <c r="H737" s="5" t="s">
        <v>66</v>
      </c>
    </row>
    <row r="738" spans="1:8" ht="21" x14ac:dyDescent="0.7">
      <c r="A738" s="2">
        <v>737</v>
      </c>
      <c r="B738" s="8" t="s">
        <v>10</v>
      </c>
      <c r="C738" s="10" t="s">
        <v>2191</v>
      </c>
      <c r="D738" s="3"/>
      <c r="E738" s="3">
        <v>3</v>
      </c>
      <c r="F738" s="3">
        <f t="shared" si="113"/>
        <v>152</v>
      </c>
      <c r="G738" s="3" t="s">
        <v>2192</v>
      </c>
      <c r="H738" s="5" t="s">
        <v>55</v>
      </c>
    </row>
    <row r="739" spans="1:8" ht="21" x14ac:dyDescent="0.7">
      <c r="A739" s="2">
        <v>738</v>
      </c>
      <c r="B739" s="8" t="s">
        <v>10</v>
      </c>
      <c r="C739" s="10" t="s">
        <v>2191</v>
      </c>
      <c r="D739" s="3"/>
      <c r="E739" s="3">
        <v>10</v>
      </c>
      <c r="F739" s="3">
        <f t="shared" si="113"/>
        <v>142</v>
      </c>
      <c r="G739" s="3">
        <v>6519</v>
      </c>
      <c r="H739" s="5" t="s">
        <v>639</v>
      </c>
    </row>
    <row r="740" spans="1:8" ht="21" x14ac:dyDescent="0.7">
      <c r="A740" s="2">
        <v>739</v>
      </c>
      <c r="B740" s="8" t="s">
        <v>10</v>
      </c>
      <c r="C740" s="10" t="s">
        <v>2193</v>
      </c>
      <c r="D740" s="3"/>
      <c r="E740" s="3">
        <v>11</v>
      </c>
      <c r="F740" s="3">
        <f t="shared" ref="F740:F745" si="114">F739-E740</f>
        <v>131</v>
      </c>
      <c r="G740" s="3" t="s">
        <v>2194</v>
      </c>
      <c r="H740" s="5" t="s">
        <v>55</v>
      </c>
    </row>
    <row r="741" spans="1:8" ht="21" x14ac:dyDescent="0.7">
      <c r="A741" s="2">
        <v>740</v>
      </c>
      <c r="B741" s="8" t="s">
        <v>10</v>
      </c>
      <c r="C741" s="10" t="s">
        <v>2195</v>
      </c>
      <c r="D741" s="3"/>
      <c r="E741" s="3">
        <v>4</v>
      </c>
      <c r="F741" s="3">
        <f t="shared" si="114"/>
        <v>127</v>
      </c>
      <c r="G741" s="3">
        <v>6528</v>
      </c>
      <c r="H741" s="5" t="s">
        <v>2196</v>
      </c>
    </row>
    <row r="742" spans="1:8" ht="21" x14ac:dyDescent="0.7">
      <c r="A742" s="2">
        <v>741</v>
      </c>
      <c r="B742" s="8" t="s">
        <v>10</v>
      </c>
      <c r="C742" s="10" t="s">
        <v>2197</v>
      </c>
      <c r="D742" s="3"/>
      <c r="E742" s="3">
        <v>1</v>
      </c>
      <c r="F742" s="3">
        <f t="shared" si="114"/>
        <v>126</v>
      </c>
      <c r="G742" s="3">
        <v>6537</v>
      </c>
      <c r="H742" s="5" t="s">
        <v>1677</v>
      </c>
    </row>
    <row r="743" spans="1:8" ht="21" x14ac:dyDescent="0.7">
      <c r="A743" s="2">
        <v>742</v>
      </c>
      <c r="B743" s="8" t="s">
        <v>10</v>
      </c>
      <c r="C743" s="10" t="s">
        <v>2197</v>
      </c>
      <c r="D743" s="3"/>
      <c r="E743" s="3">
        <v>20</v>
      </c>
      <c r="F743" s="3">
        <f t="shared" si="114"/>
        <v>106</v>
      </c>
      <c r="G743" s="3">
        <v>6536</v>
      </c>
      <c r="H743" s="5" t="s">
        <v>1247</v>
      </c>
    </row>
    <row r="744" spans="1:8" ht="21" x14ac:dyDescent="0.7">
      <c r="A744" s="2">
        <v>743</v>
      </c>
      <c r="B744" s="8" t="s">
        <v>10</v>
      </c>
      <c r="C744" s="10" t="s">
        <v>2197</v>
      </c>
      <c r="D744" s="3"/>
      <c r="E744" s="3">
        <v>25</v>
      </c>
      <c r="F744" s="3">
        <f t="shared" si="114"/>
        <v>81</v>
      </c>
      <c r="G744" s="3">
        <v>6535</v>
      </c>
      <c r="H744" s="5" t="s">
        <v>43</v>
      </c>
    </row>
    <row r="745" spans="1:8" ht="21" x14ac:dyDescent="0.7">
      <c r="A745" s="2">
        <v>744</v>
      </c>
      <c r="B745" s="8" t="s">
        <v>10</v>
      </c>
      <c r="C745" s="10" t="s">
        <v>2198</v>
      </c>
      <c r="D745" s="3"/>
      <c r="E745" s="3">
        <v>5</v>
      </c>
      <c r="F745" s="3">
        <f t="shared" si="114"/>
        <v>76</v>
      </c>
      <c r="G745" s="3">
        <v>6539</v>
      </c>
      <c r="H745" s="5" t="s">
        <v>1142</v>
      </c>
    </row>
    <row r="746" spans="1:8" ht="21" x14ac:dyDescent="0.7">
      <c r="A746" s="2">
        <v>745</v>
      </c>
      <c r="B746" s="8" t="s">
        <v>10</v>
      </c>
      <c r="C746" s="10" t="s">
        <v>2200</v>
      </c>
      <c r="D746" s="3"/>
      <c r="E746" s="3">
        <v>1</v>
      </c>
      <c r="F746" s="3">
        <f t="shared" ref="F746:F751" si="115">F745-E746</f>
        <v>75</v>
      </c>
      <c r="G746" s="3">
        <v>6541</v>
      </c>
      <c r="H746" s="5" t="s">
        <v>2201</v>
      </c>
    </row>
    <row r="747" spans="1:8" ht="21" x14ac:dyDescent="0.7">
      <c r="A747" s="2">
        <v>746</v>
      </c>
      <c r="B747" s="8" t="s">
        <v>10</v>
      </c>
      <c r="C747" s="10" t="s">
        <v>2200</v>
      </c>
      <c r="D747" s="3"/>
      <c r="E747" s="3">
        <v>1</v>
      </c>
      <c r="F747" s="3">
        <f t="shared" si="115"/>
        <v>74</v>
      </c>
      <c r="G747" s="3">
        <v>6542</v>
      </c>
      <c r="H747" s="5" t="s">
        <v>2017</v>
      </c>
    </row>
    <row r="748" spans="1:8" ht="21" x14ac:dyDescent="0.7">
      <c r="A748" s="2">
        <v>747</v>
      </c>
      <c r="B748" s="8" t="s">
        <v>10</v>
      </c>
      <c r="C748" s="10" t="s">
        <v>2206</v>
      </c>
      <c r="D748" s="3"/>
      <c r="E748" s="3">
        <v>30</v>
      </c>
      <c r="F748" s="3">
        <f t="shared" si="115"/>
        <v>44</v>
      </c>
      <c r="G748" s="3">
        <v>6550</v>
      </c>
      <c r="H748" s="5" t="s">
        <v>434</v>
      </c>
    </row>
    <row r="749" spans="1:8" ht="21" x14ac:dyDescent="0.7">
      <c r="A749" s="2">
        <v>748</v>
      </c>
      <c r="B749" s="8" t="s">
        <v>10</v>
      </c>
      <c r="C749" s="10" t="s">
        <v>2208</v>
      </c>
      <c r="D749" s="3"/>
      <c r="E749" s="3">
        <v>7</v>
      </c>
      <c r="F749" s="3">
        <f t="shared" si="115"/>
        <v>37</v>
      </c>
      <c r="G749" s="3">
        <v>6554</v>
      </c>
      <c r="H749" s="5" t="s">
        <v>1614</v>
      </c>
    </row>
    <row r="750" spans="1:8" ht="21" x14ac:dyDescent="0.7">
      <c r="A750" s="2">
        <v>749</v>
      </c>
      <c r="B750" s="8" t="s">
        <v>10</v>
      </c>
      <c r="C750" s="10" t="s">
        <v>2208</v>
      </c>
      <c r="D750" s="3"/>
      <c r="E750" s="3">
        <v>6</v>
      </c>
      <c r="F750" s="3">
        <f t="shared" si="115"/>
        <v>31</v>
      </c>
      <c r="G750" s="3">
        <v>6555</v>
      </c>
      <c r="H750" s="5" t="s">
        <v>738</v>
      </c>
    </row>
    <row r="751" spans="1:8" ht="21" x14ac:dyDescent="0.7">
      <c r="A751" s="2">
        <v>750</v>
      </c>
      <c r="B751" s="8" t="s">
        <v>10</v>
      </c>
      <c r="C751" s="10" t="s">
        <v>2209</v>
      </c>
      <c r="D751" s="3"/>
      <c r="E751" s="3">
        <v>4</v>
      </c>
      <c r="F751" s="3">
        <f t="shared" si="115"/>
        <v>27</v>
      </c>
      <c r="G751" s="3" t="s">
        <v>2210</v>
      </c>
      <c r="H751" s="5" t="s">
        <v>55</v>
      </c>
    </row>
    <row r="752" spans="1:8" ht="21" x14ac:dyDescent="0.7">
      <c r="A752" s="2">
        <v>751</v>
      </c>
      <c r="B752" s="8" t="s">
        <v>10</v>
      </c>
      <c r="C752" s="10" t="s">
        <v>2211</v>
      </c>
      <c r="D752" s="3"/>
      <c r="E752" s="3">
        <v>10</v>
      </c>
      <c r="F752" s="3">
        <f>F751-E752</f>
        <v>17</v>
      </c>
      <c r="G752" s="3">
        <v>6566</v>
      </c>
      <c r="H752" s="5" t="s">
        <v>639</v>
      </c>
    </row>
    <row r="753" spans="1:8" ht="21" x14ac:dyDescent="0.7">
      <c r="A753" s="2">
        <v>752</v>
      </c>
      <c r="B753" s="8" t="s">
        <v>10</v>
      </c>
      <c r="C753" s="10" t="s">
        <v>2213</v>
      </c>
      <c r="D753" s="3"/>
      <c r="E753" s="3">
        <v>11</v>
      </c>
      <c r="F753" s="3">
        <f>F752-E753</f>
        <v>6</v>
      </c>
      <c r="G753" s="3">
        <v>6572</v>
      </c>
      <c r="H753" s="5" t="s">
        <v>1673</v>
      </c>
    </row>
    <row r="754" spans="1:8" ht="21" x14ac:dyDescent="0.7">
      <c r="A754" s="2">
        <v>753</v>
      </c>
      <c r="B754" s="8" t="s">
        <v>10</v>
      </c>
      <c r="C754" s="10" t="s">
        <v>2213</v>
      </c>
      <c r="D754" s="3"/>
      <c r="E754" s="3">
        <v>6</v>
      </c>
      <c r="F754" s="3">
        <f>F753-E754</f>
        <v>0</v>
      </c>
      <c r="G754" s="3">
        <v>6573</v>
      </c>
      <c r="H754" s="5" t="s">
        <v>164</v>
      </c>
    </row>
    <row r="755" spans="1:8" ht="21" x14ac:dyDescent="0.7">
      <c r="A755" s="2">
        <v>754</v>
      </c>
      <c r="B755" s="8" t="s">
        <v>10</v>
      </c>
      <c r="C755" s="10" t="s">
        <v>2216</v>
      </c>
      <c r="D755" s="3">
        <v>1200</v>
      </c>
      <c r="E755" s="3"/>
      <c r="F755" s="3">
        <v>1200</v>
      </c>
      <c r="G755" s="3"/>
      <c r="H755" s="19" t="s">
        <v>2217</v>
      </c>
    </row>
    <row r="756" spans="1:8" ht="21" x14ac:dyDescent="0.7">
      <c r="A756" s="2">
        <v>755</v>
      </c>
      <c r="B756" s="8" t="s">
        <v>10</v>
      </c>
      <c r="C756" s="10" t="s">
        <v>2219</v>
      </c>
      <c r="D756" s="3"/>
      <c r="E756" s="3">
        <v>2</v>
      </c>
      <c r="F756" s="3">
        <f t="shared" ref="F756:F761" si="116">F755-E756</f>
        <v>1198</v>
      </c>
      <c r="G756" s="3">
        <v>6583</v>
      </c>
      <c r="H756" s="5" t="s">
        <v>1715</v>
      </c>
    </row>
    <row r="757" spans="1:8" ht="21" x14ac:dyDescent="0.7">
      <c r="A757" s="2">
        <v>756</v>
      </c>
      <c r="B757" s="8" t="s">
        <v>10</v>
      </c>
      <c r="C757" s="10" t="s">
        <v>2219</v>
      </c>
      <c r="D757" s="3"/>
      <c r="E757" s="3">
        <v>1</v>
      </c>
      <c r="F757" s="3">
        <f t="shared" si="116"/>
        <v>1197</v>
      </c>
      <c r="G757" s="3">
        <v>6587</v>
      </c>
      <c r="H757" s="5" t="s">
        <v>1677</v>
      </c>
    </row>
    <row r="758" spans="1:8" ht="21" x14ac:dyDescent="0.7">
      <c r="A758" s="2">
        <v>757</v>
      </c>
      <c r="B758" s="8" t="s">
        <v>10</v>
      </c>
      <c r="C758" s="10" t="s">
        <v>2222</v>
      </c>
      <c r="D758" s="3"/>
      <c r="E758" s="3">
        <v>65</v>
      </c>
      <c r="F758" s="3">
        <f t="shared" si="116"/>
        <v>1132</v>
      </c>
      <c r="G758" s="3">
        <v>6591</v>
      </c>
      <c r="H758" s="5" t="s">
        <v>434</v>
      </c>
    </row>
    <row r="759" spans="1:8" ht="21" x14ac:dyDescent="0.7">
      <c r="A759" s="2">
        <v>758</v>
      </c>
      <c r="B759" s="8" t="s">
        <v>10</v>
      </c>
      <c r="C759" s="10" t="s">
        <v>2223</v>
      </c>
      <c r="D759" s="3"/>
      <c r="E759" s="3">
        <v>73</v>
      </c>
      <c r="F759" s="3">
        <f t="shared" si="116"/>
        <v>1059</v>
      </c>
      <c r="G759" s="3">
        <v>6595</v>
      </c>
      <c r="H759" s="5" t="s">
        <v>1395</v>
      </c>
    </row>
    <row r="760" spans="1:8" ht="21" x14ac:dyDescent="0.7">
      <c r="A760" s="2">
        <v>759</v>
      </c>
      <c r="B760" s="8" t="s">
        <v>10</v>
      </c>
      <c r="C760" s="10" t="s">
        <v>2228</v>
      </c>
      <c r="D760" s="3"/>
      <c r="E760" s="3">
        <v>20</v>
      </c>
      <c r="F760" s="3">
        <f t="shared" si="116"/>
        <v>1039</v>
      </c>
      <c r="G760" s="3">
        <v>6604</v>
      </c>
      <c r="H760" s="5" t="s">
        <v>43</v>
      </c>
    </row>
    <row r="761" spans="1:8" ht="21" x14ac:dyDescent="0.7">
      <c r="A761" s="2">
        <v>760</v>
      </c>
      <c r="B761" s="8" t="s">
        <v>10</v>
      </c>
      <c r="C761" s="10" t="s">
        <v>2228</v>
      </c>
      <c r="D761" s="3"/>
      <c r="E761" s="3">
        <v>4</v>
      </c>
      <c r="F761" s="3">
        <f t="shared" si="116"/>
        <v>1035</v>
      </c>
      <c r="G761" s="3">
        <v>6602</v>
      </c>
      <c r="H761" s="5" t="s">
        <v>1142</v>
      </c>
    </row>
    <row r="762" spans="1:8" ht="21" x14ac:dyDescent="0.7">
      <c r="A762" s="2">
        <v>761</v>
      </c>
      <c r="B762" s="8" t="s">
        <v>10</v>
      </c>
      <c r="C762" s="10" t="s">
        <v>2234</v>
      </c>
      <c r="D762" s="3"/>
      <c r="E762" s="3">
        <v>4</v>
      </c>
      <c r="F762" s="3">
        <f t="shared" ref="F762:F767" si="117">F761-E762</f>
        <v>1031</v>
      </c>
      <c r="G762" s="3">
        <v>6621</v>
      </c>
      <c r="H762" s="5" t="s">
        <v>1142</v>
      </c>
    </row>
    <row r="763" spans="1:8" ht="21" x14ac:dyDescent="0.7">
      <c r="A763" s="2">
        <v>762</v>
      </c>
      <c r="B763" s="8" t="s">
        <v>10</v>
      </c>
      <c r="C763" s="10" t="s">
        <v>2234</v>
      </c>
      <c r="D763" s="3"/>
      <c r="E763" s="3">
        <v>4</v>
      </c>
      <c r="F763" s="3">
        <f t="shared" si="117"/>
        <v>1027</v>
      </c>
      <c r="G763" s="3">
        <v>6622</v>
      </c>
      <c r="H763" s="5" t="s">
        <v>2235</v>
      </c>
    </row>
    <row r="764" spans="1:8" ht="21" x14ac:dyDescent="0.7">
      <c r="A764" s="2">
        <v>763</v>
      </c>
      <c r="B764" s="8" t="s">
        <v>10</v>
      </c>
      <c r="C764" s="10" t="s">
        <v>2237</v>
      </c>
      <c r="D764" s="3"/>
      <c r="E764" s="3">
        <v>10</v>
      </c>
      <c r="F764" s="3">
        <f t="shared" si="117"/>
        <v>1017</v>
      </c>
      <c r="G764" s="3" t="s">
        <v>2238</v>
      </c>
      <c r="H764" s="5" t="s">
        <v>55</v>
      </c>
    </row>
    <row r="765" spans="1:8" ht="21" x14ac:dyDescent="0.7">
      <c r="A765" s="2">
        <v>764</v>
      </c>
      <c r="B765" s="8" t="s">
        <v>10</v>
      </c>
      <c r="C765" s="10" t="s">
        <v>2239</v>
      </c>
      <c r="D765" s="3"/>
      <c r="E765" s="3">
        <v>3</v>
      </c>
      <c r="F765" s="3">
        <f t="shared" si="117"/>
        <v>1014</v>
      </c>
      <c r="G765" s="3">
        <v>6626</v>
      </c>
      <c r="H765" s="5" t="s">
        <v>1205</v>
      </c>
    </row>
    <row r="766" spans="1:8" ht="21" x14ac:dyDescent="0.7">
      <c r="A766" s="2">
        <v>765</v>
      </c>
      <c r="B766" s="8" t="s">
        <v>10</v>
      </c>
      <c r="C766" s="10" t="s">
        <v>2241</v>
      </c>
      <c r="D766" s="3"/>
      <c r="E766" s="3">
        <v>3</v>
      </c>
      <c r="F766" s="3">
        <f t="shared" si="117"/>
        <v>1011</v>
      </c>
      <c r="G766" s="3" t="s">
        <v>2242</v>
      </c>
      <c r="H766" s="5" t="s">
        <v>55</v>
      </c>
    </row>
    <row r="767" spans="1:8" ht="21" x14ac:dyDescent="0.7">
      <c r="A767" s="2">
        <v>766</v>
      </c>
      <c r="B767" s="8" t="s">
        <v>10</v>
      </c>
      <c r="C767" s="10" t="s">
        <v>2243</v>
      </c>
      <c r="D767" s="3"/>
      <c r="E767" s="3">
        <v>1</v>
      </c>
      <c r="F767" s="3">
        <f t="shared" si="117"/>
        <v>1010</v>
      </c>
      <c r="G767" s="3">
        <v>6630</v>
      </c>
      <c r="H767" s="5" t="s">
        <v>1293</v>
      </c>
    </row>
    <row r="768" spans="1:8" ht="21" x14ac:dyDescent="0.7">
      <c r="A768" s="2">
        <v>767</v>
      </c>
      <c r="B768" s="8" t="s">
        <v>10</v>
      </c>
      <c r="C768" s="10" t="s">
        <v>2243</v>
      </c>
      <c r="D768" s="3"/>
      <c r="E768" s="3">
        <v>10</v>
      </c>
      <c r="F768" s="3">
        <f t="shared" ref="F768:F773" si="118">F767-E768</f>
        <v>1000</v>
      </c>
      <c r="G768" s="3">
        <v>6631</v>
      </c>
      <c r="H768" s="5" t="s">
        <v>639</v>
      </c>
    </row>
    <row r="769" spans="1:8" ht="21" x14ac:dyDescent="0.7">
      <c r="A769" s="2">
        <v>768</v>
      </c>
      <c r="B769" s="8" t="s">
        <v>10</v>
      </c>
      <c r="C769" s="10" t="s">
        <v>2245</v>
      </c>
      <c r="D769" s="3"/>
      <c r="E769" s="3">
        <v>5</v>
      </c>
      <c r="F769" s="3">
        <f t="shared" si="118"/>
        <v>995</v>
      </c>
      <c r="G769" s="3">
        <v>6635</v>
      </c>
      <c r="H769" s="5" t="s">
        <v>566</v>
      </c>
    </row>
    <row r="770" spans="1:8" ht="21" x14ac:dyDescent="0.7">
      <c r="A770" s="2">
        <v>769</v>
      </c>
      <c r="B770" s="8" t="s">
        <v>10</v>
      </c>
      <c r="C770" s="10" t="s">
        <v>2246</v>
      </c>
      <c r="D770" s="3"/>
      <c r="E770" s="3">
        <v>5</v>
      </c>
      <c r="F770" s="3">
        <f t="shared" si="118"/>
        <v>990</v>
      </c>
      <c r="G770" s="3">
        <v>6637</v>
      </c>
      <c r="H770" s="5" t="s">
        <v>1355</v>
      </c>
    </row>
    <row r="771" spans="1:8" ht="21" x14ac:dyDescent="0.7">
      <c r="A771" s="2">
        <v>770</v>
      </c>
      <c r="B771" s="8" t="s">
        <v>10</v>
      </c>
      <c r="C771" s="10" t="s">
        <v>2246</v>
      </c>
      <c r="D771" s="3"/>
      <c r="E771" s="3">
        <v>5</v>
      </c>
      <c r="F771" s="3">
        <f t="shared" si="118"/>
        <v>985</v>
      </c>
      <c r="G771" s="3">
        <v>6638</v>
      </c>
      <c r="H771" s="5" t="s">
        <v>1355</v>
      </c>
    </row>
    <row r="772" spans="1:8" ht="21" x14ac:dyDescent="0.7">
      <c r="A772" s="2">
        <v>771</v>
      </c>
      <c r="B772" s="8" t="s">
        <v>10</v>
      </c>
      <c r="C772" s="10" t="s">
        <v>2249</v>
      </c>
      <c r="D772" s="3"/>
      <c r="E772" s="3">
        <v>2</v>
      </c>
      <c r="F772" s="3">
        <f t="shared" si="118"/>
        <v>983</v>
      </c>
      <c r="G772" s="3">
        <v>6640</v>
      </c>
      <c r="H772" s="5" t="s">
        <v>834</v>
      </c>
    </row>
    <row r="773" spans="1:8" ht="21" x14ac:dyDescent="0.7">
      <c r="A773" s="2">
        <v>772</v>
      </c>
      <c r="B773" s="8" t="s">
        <v>10</v>
      </c>
      <c r="C773" s="10" t="s">
        <v>2249</v>
      </c>
      <c r="D773" s="3"/>
      <c r="E773" s="3">
        <v>2</v>
      </c>
      <c r="F773" s="3">
        <f t="shared" si="118"/>
        <v>981</v>
      </c>
      <c r="G773" s="3">
        <v>6641</v>
      </c>
      <c r="H773" s="5" t="s">
        <v>1355</v>
      </c>
    </row>
    <row r="774" spans="1:8" ht="21" x14ac:dyDescent="0.7">
      <c r="A774" s="2">
        <v>773</v>
      </c>
      <c r="B774" s="8" t="s">
        <v>10</v>
      </c>
      <c r="C774" s="10" t="s">
        <v>2252</v>
      </c>
      <c r="D774" s="3"/>
      <c r="E774" s="3">
        <v>80</v>
      </c>
      <c r="F774" s="3">
        <f t="shared" ref="F774:F779" si="119">F773-E774</f>
        <v>901</v>
      </c>
      <c r="G774" s="3">
        <v>6652</v>
      </c>
      <c r="H774" s="5" t="s">
        <v>1270</v>
      </c>
    </row>
    <row r="775" spans="1:8" ht="21" x14ac:dyDescent="0.7">
      <c r="A775" s="2">
        <v>774</v>
      </c>
      <c r="B775" s="8" t="s">
        <v>10</v>
      </c>
      <c r="C775" s="10" t="s">
        <v>2253</v>
      </c>
      <c r="D775" s="3"/>
      <c r="E775" s="3">
        <v>5</v>
      </c>
      <c r="F775" s="3">
        <f t="shared" si="119"/>
        <v>896</v>
      </c>
      <c r="G775" s="3" t="s">
        <v>2254</v>
      </c>
      <c r="H775" s="5" t="s">
        <v>55</v>
      </c>
    </row>
    <row r="776" spans="1:8" ht="21" x14ac:dyDescent="0.7">
      <c r="A776" s="2">
        <v>775</v>
      </c>
      <c r="B776" s="8" t="s">
        <v>10</v>
      </c>
      <c r="C776" s="10" t="s">
        <v>2256</v>
      </c>
      <c r="D776" s="3"/>
      <c r="E776" s="3">
        <v>2</v>
      </c>
      <c r="F776" s="3">
        <f t="shared" si="119"/>
        <v>894</v>
      </c>
      <c r="G776" s="3">
        <v>6653</v>
      </c>
      <c r="H776" s="5" t="s">
        <v>2201</v>
      </c>
    </row>
    <row r="777" spans="1:8" ht="21" x14ac:dyDescent="0.7">
      <c r="A777" s="2">
        <v>776</v>
      </c>
      <c r="B777" s="8" t="s">
        <v>10</v>
      </c>
      <c r="C777" s="10" t="s">
        <v>2257</v>
      </c>
      <c r="D777" s="3"/>
      <c r="E777" s="3">
        <v>2</v>
      </c>
      <c r="F777" s="3">
        <f t="shared" si="119"/>
        <v>892</v>
      </c>
      <c r="G777" s="3">
        <v>6657</v>
      </c>
      <c r="H777" s="5" t="s">
        <v>2258</v>
      </c>
    </row>
    <row r="778" spans="1:8" ht="21" x14ac:dyDescent="0.7">
      <c r="A778" s="2">
        <v>777</v>
      </c>
      <c r="B778" s="8" t="s">
        <v>10</v>
      </c>
      <c r="C778" s="10" t="s">
        <v>2257</v>
      </c>
      <c r="D778" s="3"/>
      <c r="E778" s="3">
        <v>3</v>
      </c>
      <c r="F778" s="3">
        <f t="shared" si="119"/>
        <v>889</v>
      </c>
      <c r="G778" s="3">
        <v>6658</v>
      </c>
      <c r="H778" s="5" t="s">
        <v>1715</v>
      </c>
    </row>
    <row r="779" spans="1:8" ht="21" x14ac:dyDescent="0.7">
      <c r="A779" s="2">
        <v>778</v>
      </c>
      <c r="B779" s="8" t="s">
        <v>10</v>
      </c>
      <c r="C779" s="10" t="s">
        <v>2259</v>
      </c>
      <c r="D779" s="3"/>
      <c r="E779" s="3">
        <v>5</v>
      </c>
      <c r="F779" s="3">
        <f t="shared" si="119"/>
        <v>884</v>
      </c>
      <c r="G779" s="3">
        <v>6659</v>
      </c>
      <c r="H779" s="5" t="s">
        <v>168</v>
      </c>
    </row>
    <row r="780" spans="1:8" ht="21" x14ac:dyDescent="0.7">
      <c r="A780" s="2">
        <v>779</v>
      </c>
      <c r="B780" s="8" t="s">
        <v>10</v>
      </c>
      <c r="C780" s="10" t="s">
        <v>2260</v>
      </c>
      <c r="D780" s="3"/>
      <c r="E780" s="3">
        <v>10</v>
      </c>
      <c r="F780" s="3">
        <f t="shared" ref="F780:F785" si="120">F779-E780</f>
        <v>874</v>
      </c>
      <c r="G780" s="3">
        <v>6670</v>
      </c>
      <c r="H780" s="5" t="s">
        <v>2261</v>
      </c>
    </row>
    <row r="781" spans="1:8" ht="21" x14ac:dyDescent="0.7">
      <c r="A781" s="2">
        <v>780</v>
      </c>
      <c r="B781" s="8" t="s">
        <v>10</v>
      </c>
      <c r="C781" s="10" t="s">
        <v>2260</v>
      </c>
      <c r="D781" s="3"/>
      <c r="E781" s="3">
        <v>50</v>
      </c>
      <c r="F781" s="3">
        <f t="shared" si="120"/>
        <v>824</v>
      </c>
      <c r="G781" s="3">
        <v>6668</v>
      </c>
      <c r="H781" s="5" t="s">
        <v>1247</v>
      </c>
    </row>
    <row r="782" spans="1:8" ht="21" x14ac:dyDescent="0.7">
      <c r="A782" s="2">
        <v>781</v>
      </c>
      <c r="B782" s="8" t="s">
        <v>10</v>
      </c>
      <c r="C782" s="10" t="s">
        <v>2266</v>
      </c>
      <c r="D782" s="3"/>
      <c r="E782" s="3">
        <v>3</v>
      </c>
      <c r="F782" s="3">
        <f t="shared" si="120"/>
        <v>821</v>
      </c>
      <c r="G782" s="3">
        <v>6673</v>
      </c>
      <c r="H782" s="5" t="s">
        <v>149</v>
      </c>
    </row>
    <row r="783" spans="1:8" ht="21" x14ac:dyDescent="0.7">
      <c r="A783" s="2">
        <v>782</v>
      </c>
      <c r="B783" s="8" t="s">
        <v>10</v>
      </c>
      <c r="C783" s="10" t="s">
        <v>2269</v>
      </c>
      <c r="D783" s="3"/>
      <c r="E783" s="3">
        <v>5</v>
      </c>
      <c r="F783" s="3">
        <f t="shared" si="120"/>
        <v>816</v>
      </c>
      <c r="G783" s="3" t="s">
        <v>2270</v>
      </c>
      <c r="H783" s="5" t="s">
        <v>55</v>
      </c>
    </row>
    <row r="784" spans="1:8" ht="21" x14ac:dyDescent="0.7">
      <c r="A784" s="2">
        <v>783</v>
      </c>
      <c r="B784" s="8" t="s">
        <v>10</v>
      </c>
      <c r="C784" s="10" t="s">
        <v>2276</v>
      </c>
      <c r="D784" s="3"/>
      <c r="E784" s="3">
        <v>2</v>
      </c>
      <c r="F784" s="3">
        <f t="shared" si="120"/>
        <v>814</v>
      </c>
      <c r="G784" s="3">
        <v>6683</v>
      </c>
      <c r="H784" s="5" t="s">
        <v>1620</v>
      </c>
    </row>
    <row r="785" spans="1:9" ht="21" x14ac:dyDescent="0.7">
      <c r="A785" s="2">
        <v>784</v>
      </c>
      <c r="B785" s="8" t="s">
        <v>10</v>
      </c>
      <c r="C785" s="10" t="s">
        <v>2278</v>
      </c>
      <c r="D785" s="3"/>
      <c r="E785" s="3">
        <v>2</v>
      </c>
      <c r="F785" s="3">
        <f t="shared" si="120"/>
        <v>812</v>
      </c>
      <c r="G785" s="3" t="s">
        <v>2279</v>
      </c>
      <c r="H785" s="5" t="s">
        <v>55</v>
      </c>
    </row>
    <row r="786" spans="1:9" ht="21" x14ac:dyDescent="0.7">
      <c r="A786" s="2">
        <v>785</v>
      </c>
      <c r="B786" s="8" t="s">
        <v>10</v>
      </c>
      <c r="C786" s="10" t="s">
        <v>2280</v>
      </c>
      <c r="D786" s="3"/>
      <c r="E786" s="3">
        <v>100</v>
      </c>
      <c r="F786" s="3">
        <f t="shared" ref="F786:F791" si="121">F785-E786</f>
        <v>712</v>
      </c>
      <c r="G786" s="3">
        <v>6685</v>
      </c>
      <c r="H786" s="5" t="s">
        <v>1450</v>
      </c>
    </row>
    <row r="787" spans="1:9" ht="21" x14ac:dyDescent="0.7">
      <c r="A787" s="2">
        <v>786</v>
      </c>
      <c r="B787" s="8" t="s">
        <v>10</v>
      </c>
      <c r="C787" s="10" t="s">
        <v>2280</v>
      </c>
      <c r="D787" s="3"/>
      <c r="E787" s="3">
        <v>5</v>
      </c>
      <c r="F787" s="3">
        <f t="shared" si="121"/>
        <v>707</v>
      </c>
      <c r="G787" s="3">
        <v>6686</v>
      </c>
      <c r="H787" s="5" t="s">
        <v>545</v>
      </c>
    </row>
    <row r="788" spans="1:9" ht="21" x14ac:dyDescent="0.7">
      <c r="A788" s="2">
        <v>787</v>
      </c>
      <c r="B788" s="8" t="s">
        <v>10</v>
      </c>
      <c r="C788" s="10" t="s">
        <v>2280</v>
      </c>
      <c r="D788" s="3"/>
      <c r="E788" s="3">
        <v>3</v>
      </c>
      <c r="F788" s="3">
        <f t="shared" si="121"/>
        <v>704</v>
      </c>
      <c r="G788" s="3">
        <v>6687</v>
      </c>
      <c r="H788" s="5" t="s">
        <v>1142</v>
      </c>
    </row>
    <row r="789" spans="1:9" ht="21" x14ac:dyDescent="0.7">
      <c r="A789" s="2">
        <v>788</v>
      </c>
      <c r="B789" s="8" t="s">
        <v>10</v>
      </c>
      <c r="C789" s="10" t="s">
        <v>2280</v>
      </c>
      <c r="D789" s="3"/>
      <c r="E789" s="3">
        <v>15</v>
      </c>
      <c r="F789" s="3">
        <f t="shared" si="121"/>
        <v>689</v>
      </c>
      <c r="G789" s="3">
        <v>6688</v>
      </c>
      <c r="H789" s="5" t="s">
        <v>150</v>
      </c>
    </row>
    <row r="790" spans="1:9" ht="21" x14ac:dyDescent="0.7">
      <c r="A790" s="2">
        <v>789</v>
      </c>
      <c r="B790" s="8" t="s">
        <v>10</v>
      </c>
      <c r="C790" s="10" t="s">
        <v>2281</v>
      </c>
      <c r="D790" s="3"/>
      <c r="E790" s="3">
        <v>3</v>
      </c>
      <c r="F790" s="3">
        <f t="shared" si="121"/>
        <v>686</v>
      </c>
      <c r="G790" s="3" t="s">
        <v>2283</v>
      </c>
      <c r="H790" s="5" t="s">
        <v>2282</v>
      </c>
    </row>
    <row r="791" spans="1:9" ht="21" x14ac:dyDescent="0.7">
      <c r="A791" s="2">
        <v>790</v>
      </c>
      <c r="B791" s="8" t="s">
        <v>10</v>
      </c>
      <c r="C791" s="10" t="s">
        <v>2306</v>
      </c>
      <c r="D791" s="3"/>
      <c r="E791" s="3">
        <v>40</v>
      </c>
      <c r="F791" s="3">
        <f t="shared" si="121"/>
        <v>646</v>
      </c>
      <c r="G791" s="3">
        <v>6726</v>
      </c>
      <c r="H791" s="5" t="s">
        <v>1390</v>
      </c>
      <c r="I791" t="s">
        <v>2305</v>
      </c>
    </row>
    <row r="792" spans="1:9" ht="21" x14ac:dyDescent="0.7">
      <c r="A792" s="2">
        <v>791</v>
      </c>
      <c r="B792" s="8" t="s">
        <v>10</v>
      </c>
      <c r="C792" s="10" t="s">
        <v>2284</v>
      </c>
      <c r="D792" s="3"/>
      <c r="E792" s="3">
        <v>3</v>
      </c>
      <c r="F792" s="3">
        <f t="shared" ref="F792:F797" si="122">F791-E792</f>
        <v>643</v>
      </c>
      <c r="G792" s="3">
        <v>6697</v>
      </c>
      <c r="H792" s="5" t="s">
        <v>1981</v>
      </c>
    </row>
    <row r="793" spans="1:9" ht="21" x14ac:dyDescent="0.7">
      <c r="A793" s="2">
        <v>792</v>
      </c>
      <c r="B793" s="8" t="s">
        <v>10</v>
      </c>
      <c r="C793" s="10" t="s">
        <v>2285</v>
      </c>
      <c r="D793" s="3"/>
      <c r="E793" s="3">
        <v>1</v>
      </c>
      <c r="F793" s="3">
        <f t="shared" si="122"/>
        <v>642</v>
      </c>
      <c r="G793" s="3">
        <v>6689</v>
      </c>
      <c r="H793" s="5" t="s">
        <v>1677</v>
      </c>
    </row>
    <row r="794" spans="1:9" ht="21" x14ac:dyDescent="0.7">
      <c r="A794" s="2">
        <v>793</v>
      </c>
      <c r="B794" s="8" t="s">
        <v>10</v>
      </c>
      <c r="C794" s="10" t="s">
        <v>2286</v>
      </c>
      <c r="D794" s="3"/>
      <c r="E794" s="3">
        <v>4</v>
      </c>
      <c r="F794" s="3">
        <f t="shared" si="122"/>
        <v>638</v>
      </c>
      <c r="G794" s="3">
        <v>6692</v>
      </c>
      <c r="H794" s="5" t="s">
        <v>1270</v>
      </c>
    </row>
    <row r="795" spans="1:9" ht="21" x14ac:dyDescent="0.7">
      <c r="A795" s="2">
        <v>794</v>
      </c>
      <c r="B795" s="8" t="s">
        <v>10</v>
      </c>
      <c r="C795" s="10" t="s">
        <v>2287</v>
      </c>
      <c r="D795" s="3"/>
      <c r="E795" s="3">
        <v>1</v>
      </c>
      <c r="F795" s="3">
        <f t="shared" si="122"/>
        <v>637</v>
      </c>
      <c r="G795" s="3">
        <v>6702</v>
      </c>
      <c r="H795" s="5" t="s">
        <v>2288</v>
      </c>
    </row>
    <row r="796" spans="1:9" ht="21" x14ac:dyDescent="0.7">
      <c r="A796" s="2">
        <v>795</v>
      </c>
      <c r="B796" s="8" t="s">
        <v>10</v>
      </c>
      <c r="C796" s="10" t="s">
        <v>2289</v>
      </c>
      <c r="D796" s="3"/>
      <c r="E796" s="3">
        <v>25</v>
      </c>
      <c r="F796" s="3">
        <f t="shared" si="122"/>
        <v>612</v>
      </c>
      <c r="G796" s="3">
        <v>6703</v>
      </c>
      <c r="H796" s="5" t="s">
        <v>43</v>
      </c>
    </row>
    <row r="797" spans="1:9" ht="21" x14ac:dyDescent="0.7">
      <c r="A797" s="2">
        <v>796</v>
      </c>
      <c r="B797" s="8" t="s">
        <v>10</v>
      </c>
      <c r="C797" s="10" t="s">
        <v>2289</v>
      </c>
      <c r="D797" s="3"/>
      <c r="E797" s="3">
        <v>1</v>
      </c>
      <c r="F797" s="3">
        <f t="shared" si="122"/>
        <v>611</v>
      </c>
      <c r="G797" s="3" t="s">
        <v>2290</v>
      </c>
      <c r="H797" s="5" t="s">
        <v>55</v>
      </c>
    </row>
    <row r="798" spans="1:9" ht="21" x14ac:dyDescent="0.7">
      <c r="A798" s="2">
        <v>797</v>
      </c>
      <c r="B798" s="8" t="s">
        <v>10</v>
      </c>
      <c r="C798" s="10" t="s">
        <v>2291</v>
      </c>
      <c r="D798" s="3"/>
      <c r="E798" s="3">
        <v>2</v>
      </c>
      <c r="F798" s="3">
        <f t="shared" ref="F798:F803" si="123">F797-E798</f>
        <v>609</v>
      </c>
      <c r="G798" s="3" t="s">
        <v>2292</v>
      </c>
      <c r="H798" s="5" t="s">
        <v>55</v>
      </c>
    </row>
    <row r="799" spans="1:9" ht="21" x14ac:dyDescent="0.7">
      <c r="A799" s="2">
        <v>798</v>
      </c>
      <c r="B799" s="8" t="s">
        <v>10</v>
      </c>
      <c r="C799" s="10" t="s">
        <v>2294</v>
      </c>
      <c r="D799" s="3"/>
      <c r="E799" s="3">
        <v>1</v>
      </c>
      <c r="F799" s="3">
        <f t="shared" si="123"/>
        <v>608</v>
      </c>
      <c r="G799" s="3" t="s">
        <v>2295</v>
      </c>
      <c r="H799" s="5" t="s">
        <v>55</v>
      </c>
    </row>
    <row r="800" spans="1:9" ht="21" x14ac:dyDescent="0.7">
      <c r="A800" s="2">
        <v>799</v>
      </c>
      <c r="B800" s="8" t="s">
        <v>10</v>
      </c>
      <c r="C800" s="10" t="s">
        <v>2296</v>
      </c>
      <c r="D800" s="3"/>
      <c r="E800" s="3">
        <v>1</v>
      </c>
      <c r="F800" s="3">
        <f t="shared" si="123"/>
        <v>607</v>
      </c>
      <c r="G800" s="3">
        <v>6713</v>
      </c>
      <c r="H800" s="5" t="s">
        <v>2201</v>
      </c>
    </row>
    <row r="801" spans="1:8" ht="21" x14ac:dyDescent="0.7">
      <c r="A801" s="2">
        <v>800</v>
      </c>
      <c r="B801" s="8" t="s">
        <v>10</v>
      </c>
      <c r="C801" s="10" t="s">
        <v>2296</v>
      </c>
      <c r="D801" s="3"/>
      <c r="E801" s="3">
        <v>5</v>
      </c>
      <c r="F801" s="3">
        <f t="shared" si="123"/>
        <v>602</v>
      </c>
      <c r="G801" s="3">
        <v>6711</v>
      </c>
      <c r="H801" s="5" t="s">
        <v>2258</v>
      </c>
    </row>
    <row r="802" spans="1:8" ht="21" x14ac:dyDescent="0.7">
      <c r="A802" s="2">
        <v>801</v>
      </c>
      <c r="B802" s="8" t="s">
        <v>10</v>
      </c>
      <c r="C802" s="10" t="s">
        <v>2297</v>
      </c>
      <c r="D802" s="3"/>
      <c r="E802" s="3">
        <v>2</v>
      </c>
      <c r="F802" s="3">
        <f t="shared" si="123"/>
        <v>600</v>
      </c>
      <c r="G802" s="3" t="s">
        <v>2298</v>
      </c>
      <c r="H802" s="5" t="s">
        <v>55</v>
      </c>
    </row>
    <row r="803" spans="1:8" ht="21" x14ac:dyDescent="0.7">
      <c r="A803" s="2">
        <v>802</v>
      </c>
      <c r="B803" s="8" t="s">
        <v>10</v>
      </c>
      <c r="C803" s="10" t="s">
        <v>2299</v>
      </c>
      <c r="D803" s="3"/>
      <c r="E803" s="3">
        <v>4</v>
      </c>
      <c r="F803" s="3">
        <f t="shared" si="123"/>
        <v>596</v>
      </c>
      <c r="G803" s="3" t="s">
        <v>2300</v>
      </c>
      <c r="H803" s="5" t="s">
        <v>55</v>
      </c>
    </row>
    <row r="804" spans="1:8" ht="21" x14ac:dyDescent="0.7">
      <c r="A804" s="2">
        <v>803</v>
      </c>
      <c r="B804" s="8" t="s">
        <v>10</v>
      </c>
      <c r="C804" s="10" t="s">
        <v>2303</v>
      </c>
      <c r="D804" s="3"/>
      <c r="E804" s="3">
        <v>206</v>
      </c>
      <c r="F804" s="3">
        <f t="shared" ref="F804:F809" si="124">F803-E804</f>
        <v>390</v>
      </c>
      <c r="G804" s="3" t="s">
        <v>2304</v>
      </c>
      <c r="H804" s="5" t="s">
        <v>55</v>
      </c>
    </row>
    <row r="805" spans="1:8" ht="21" x14ac:dyDescent="0.7">
      <c r="A805" s="2">
        <v>804</v>
      </c>
      <c r="B805" s="8" t="s">
        <v>10</v>
      </c>
      <c r="C805" s="10" t="s">
        <v>2310</v>
      </c>
      <c r="D805" s="3"/>
      <c r="E805" s="3">
        <v>20</v>
      </c>
      <c r="F805" s="3">
        <f t="shared" si="124"/>
        <v>370</v>
      </c>
      <c r="G805" s="3">
        <v>6721</v>
      </c>
      <c r="H805" s="5" t="s">
        <v>2261</v>
      </c>
    </row>
    <row r="806" spans="1:8" ht="21" x14ac:dyDescent="0.7">
      <c r="A806" s="2">
        <v>805</v>
      </c>
      <c r="B806" s="8" t="s">
        <v>10</v>
      </c>
      <c r="C806" s="10" t="s">
        <v>2306</v>
      </c>
      <c r="D806" s="3"/>
      <c r="E806" s="3">
        <v>1</v>
      </c>
      <c r="F806" s="3">
        <f t="shared" si="124"/>
        <v>369</v>
      </c>
      <c r="G806" s="3">
        <v>6723</v>
      </c>
      <c r="H806" s="5" t="s">
        <v>1686</v>
      </c>
    </row>
    <row r="807" spans="1:8" ht="21" x14ac:dyDescent="0.7">
      <c r="A807" s="2">
        <v>806</v>
      </c>
      <c r="B807" s="8" t="s">
        <v>10</v>
      </c>
      <c r="C807" s="10" t="s">
        <v>2306</v>
      </c>
      <c r="D807" s="3"/>
      <c r="E807" s="3">
        <v>10</v>
      </c>
      <c r="F807" s="3">
        <f t="shared" si="124"/>
        <v>359</v>
      </c>
      <c r="G807" s="3">
        <v>6724</v>
      </c>
      <c r="H807" s="5" t="s">
        <v>930</v>
      </c>
    </row>
    <row r="808" spans="1:8" ht="21" x14ac:dyDescent="0.7">
      <c r="A808" s="2">
        <v>807</v>
      </c>
      <c r="B808" s="8" t="s">
        <v>10</v>
      </c>
      <c r="C808" s="10" t="s">
        <v>2306</v>
      </c>
      <c r="D808" s="3"/>
      <c r="E808" s="3">
        <v>1</v>
      </c>
      <c r="F808" s="3">
        <f t="shared" si="124"/>
        <v>358</v>
      </c>
      <c r="G808" s="3">
        <v>6725</v>
      </c>
      <c r="H808" s="5" t="s">
        <v>1194</v>
      </c>
    </row>
    <row r="809" spans="1:8" ht="21" x14ac:dyDescent="0.7">
      <c r="A809" s="2">
        <v>808</v>
      </c>
      <c r="B809" s="8" t="s">
        <v>10</v>
      </c>
      <c r="C809" s="10" t="s">
        <v>2311</v>
      </c>
      <c r="D809" s="3"/>
      <c r="E809" s="3">
        <v>150</v>
      </c>
      <c r="F809" s="3">
        <f t="shared" si="124"/>
        <v>208</v>
      </c>
      <c r="G809" s="3">
        <v>6741</v>
      </c>
      <c r="H809" s="5" t="s">
        <v>2312</v>
      </c>
    </row>
    <row r="810" spans="1:8" ht="21" x14ac:dyDescent="0.7">
      <c r="A810" s="2">
        <v>809</v>
      </c>
      <c r="B810" s="8" t="s">
        <v>10</v>
      </c>
      <c r="C810" s="10" t="s">
        <v>2320</v>
      </c>
      <c r="D810" s="3"/>
      <c r="E810" s="3">
        <v>3</v>
      </c>
      <c r="F810" s="3">
        <f t="shared" ref="F810:F815" si="125">F809-E810</f>
        <v>205</v>
      </c>
      <c r="G810" s="3">
        <v>6751</v>
      </c>
      <c r="H810" s="5" t="s">
        <v>1715</v>
      </c>
    </row>
    <row r="811" spans="1:8" ht="21" x14ac:dyDescent="0.7">
      <c r="A811" s="2">
        <v>810</v>
      </c>
      <c r="B811" s="8" t="s">
        <v>10</v>
      </c>
      <c r="C811" s="10" t="s">
        <v>2320</v>
      </c>
      <c r="D811" s="3"/>
      <c r="E811" s="3">
        <v>1</v>
      </c>
      <c r="F811" s="3">
        <f t="shared" si="125"/>
        <v>204</v>
      </c>
      <c r="G811" s="3">
        <v>6752</v>
      </c>
      <c r="H811" s="5" t="s">
        <v>2321</v>
      </c>
    </row>
    <row r="812" spans="1:8" ht="21" x14ac:dyDescent="0.7">
      <c r="A812" s="2">
        <v>811</v>
      </c>
      <c r="B812" s="8" t="s">
        <v>10</v>
      </c>
      <c r="C812" s="10" t="s">
        <v>2320</v>
      </c>
      <c r="D812" s="3"/>
      <c r="E812" s="3">
        <v>70</v>
      </c>
      <c r="F812" s="3">
        <f t="shared" si="125"/>
        <v>134</v>
      </c>
      <c r="G812" s="3">
        <v>6755</v>
      </c>
      <c r="H812" s="5" t="s">
        <v>2322</v>
      </c>
    </row>
    <row r="813" spans="1:8" ht="21" x14ac:dyDescent="0.7">
      <c r="A813" s="2">
        <v>812</v>
      </c>
      <c r="B813" s="8" t="s">
        <v>10</v>
      </c>
      <c r="C813" s="10" t="s">
        <v>2323</v>
      </c>
      <c r="D813" s="3"/>
      <c r="E813" s="3">
        <v>1</v>
      </c>
      <c r="F813" s="3">
        <f t="shared" si="125"/>
        <v>133</v>
      </c>
      <c r="G813" s="3">
        <v>6759</v>
      </c>
      <c r="H813" s="5" t="s">
        <v>2201</v>
      </c>
    </row>
    <row r="814" spans="1:8" ht="21" x14ac:dyDescent="0.7">
      <c r="A814" s="2">
        <v>813</v>
      </c>
      <c r="B814" s="8" t="s">
        <v>10</v>
      </c>
      <c r="C814" s="10" t="s">
        <v>2328</v>
      </c>
      <c r="D814" s="3"/>
      <c r="E814" s="3">
        <v>2</v>
      </c>
      <c r="F814" s="3">
        <f t="shared" si="125"/>
        <v>131</v>
      </c>
      <c r="G814" s="3">
        <v>6765</v>
      </c>
      <c r="H814" s="5" t="s">
        <v>66</v>
      </c>
    </row>
    <row r="815" spans="1:8" ht="21" x14ac:dyDescent="0.7">
      <c r="A815" s="2">
        <v>814</v>
      </c>
      <c r="B815" s="8" t="s">
        <v>10</v>
      </c>
      <c r="C815" s="10" t="s">
        <v>2329</v>
      </c>
      <c r="D815" s="3"/>
      <c r="E815" s="3">
        <v>10</v>
      </c>
      <c r="F815" s="3">
        <f t="shared" si="125"/>
        <v>121</v>
      </c>
      <c r="G815" s="3">
        <v>6767</v>
      </c>
      <c r="H815" s="5" t="s">
        <v>2330</v>
      </c>
    </row>
    <row r="816" spans="1:8" ht="21" x14ac:dyDescent="0.7">
      <c r="A816" s="2">
        <v>815</v>
      </c>
      <c r="B816" s="8" t="s">
        <v>10</v>
      </c>
      <c r="C816" s="10" t="s">
        <v>2331</v>
      </c>
      <c r="D816" s="3"/>
      <c r="E816" s="3">
        <v>5</v>
      </c>
      <c r="F816" s="3">
        <f t="shared" ref="F816:F821" si="126">F815-E816</f>
        <v>116</v>
      </c>
      <c r="G816" s="3">
        <v>6769</v>
      </c>
      <c r="H816" s="5" t="s">
        <v>1270</v>
      </c>
    </row>
    <row r="817" spans="1:8" ht="21" x14ac:dyDescent="0.7">
      <c r="A817" s="2">
        <v>816</v>
      </c>
      <c r="B817" s="8" t="s">
        <v>10</v>
      </c>
      <c r="C817" s="10" t="s">
        <v>2331</v>
      </c>
      <c r="D817" s="3"/>
      <c r="E817" s="3">
        <v>1</v>
      </c>
      <c r="F817" s="3">
        <f t="shared" si="126"/>
        <v>115</v>
      </c>
      <c r="G817" s="3">
        <v>6770</v>
      </c>
      <c r="H817" s="5" t="s">
        <v>234</v>
      </c>
    </row>
    <row r="818" spans="1:8" ht="21" x14ac:dyDescent="0.7">
      <c r="A818" s="2">
        <v>817</v>
      </c>
      <c r="B818" s="8" t="s">
        <v>10</v>
      </c>
      <c r="C818" s="10" t="s">
        <v>2331</v>
      </c>
      <c r="D818" s="3"/>
      <c r="E818" s="3">
        <v>15</v>
      </c>
      <c r="F818" s="3">
        <f t="shared" si="126"/>
        <v>100</v>
      </c>
      <c r="G818" s="3" t="s">
        <v>2332</v>
      </c>
      <c r="H818" s="5" t="s">
        <v>55</v>
      </c>
    </row>
    <row r="819" spans="1:8" ht="21" x14ac:dyDescent="0.7">
      <c r="A819" s="2">
        <v>818</v>
      </c>
      <c r="B819" s="8" t="s">
        <v>10</v>
      </c>
      <c r="C819" s="10" t="s">
        <v>2339</v>
      </c>
      <c r="D819" s="3"/>
      <c r="E819" s="3">
        <v>3</v>
      </c>
      <c r="F819" s="3">
        <f t="shared" si="126"/>
        <v>97</v>
      </c>
      <c r="G819" s="3">
        <v>6780</v>
      </c>
      <c r="H819" s="5" t="s">
        <v>1715</v>
      </c>
    </row>
    <row r="820" spans="1:8" ht="21" x14ac:dyDescent="0.7">
      <c r="A820" s="2">
        <v>819</v>
      </c>
      <c r="B820" s="8" t="s">
        <v>10</v>
      </c>
      <c r="C820" s="10" t="s">
        <v>2340</v>
      </c>
      <c r="D820" s="3"/>
      <c r="E820" s="3">
        <v>1</v>
      </c>
      <c r="F820" s="3">
        <f t="shared" si="126"/>
        <v>96</v>
      </c>
      <c r="G820" s="3" t="s">
        <v>2342</v>
      </c>
      <c r="H820" s="5" t="s">
        <v>2341</v>
      </c>
    </row>
    <row r="821" spans="1:8" ht="21" x14ac:dyDescent="0.7">
      <c r="A821" s="2">
        <v>820</v>
      </c>
      <c r="B821" s="8" t="s">
        <v>10</v>
      </c>
      <c r="C821" s="10" t="s">
        <v>2343</v>
      </c>
      <c r="D821" s="3"/>
      <c r="E821" s="3">
        <v>3</v>
      </c>
      <c r="F821" s="3">
        <f t="shared" si="126"/>
        <v>93</v>
      </c>
      <c r="G821" s="3">
        <v>6783</v>
      </c>
      <c r="H821" s="5" t="s">
        <v>79</v>
      </c>
    </row>
    <row r="822" spans="1:8" ht="21" x14ac:dyDescent="0.7">
      <c r="A822" s="2">
        <v>821</v>
      </c>
      <c r="B822" s="8" t="s">
        <v>10</v>
      </c>
      <c r="C822" s="10" t="s">
        <v>2344</v>
      </c>
      <c r="D822" s="3"/>
      <c r="E822" s="3">
        <v>30</v>
      </c>
      <c r="F822" s="3">
        <f t="shared" ref="F822:F827" si="127">F821-E822</f>
        <v>63</v>
      </c>
      <c r="G822" s="3">
        <v>6786</v>
      </c>
      <c r="H822" s="5" t="s">
        <v>2261</v>
      </c>
    </row>
    <row r="823" spans="1:8" ht="21" x14ac:dyDescent="0.7">
      <c r="A823" s="2">
        <v>822</v>
      </c>
      <c r="B823" s="8" t="s">
        <v>10</v>
      </c>
      <c r="C823" s="10" t="s">
        <v>2345</v>
      </c>
      <c r="D823" s="3"/>
      <c r="E823" s="3"/>
      <c r="F823" s="3">
        <f t="shared" si="127"/>
        <v>63</v>
      </c>
      <c r="G823" s="3"/>
      <c r="H823" s="5"/>
    </row>
    <row r="824" spans="1:8" ht="21" x14ac:dyDescent="0.7">
      <c r="A824" s="2">
        <v>823</v>
      </c>
      <c r="B824" s="8" t="s">
        <v>10</v>
      </c>
      <c r="C824" s="10" t="s">
        <v>2352</v>
      </c>
      <c r="D824" s="3"/>
      <c r="E824" s="3">
        <v>36</v>
      </c>
      <c r="F824" s="3">
        <f t="shared" si="127"/>
        <v>27</v>
      </c>
      <c r="G824" s="3">
        <v>6829</v>
      </c>
      <c r="H824" s="5" t="s">
        <v>2322</v>
      </c>
    </row>
    <row r="825" spans="1:8" ht="21" x14ac:dyDescent="0.7">
      <c r="A825" s="2">
        <v>824</v>
      </c>
      <c r="B825" s="8" t="s">
        <v>10</v>
      </c>
      <c r="C825" s="10" t="s">
        <v>2353</v>
      </c>
      <c r="D825" s="3"/>
      <c r="E825" s="3">
        <v>3</v>
      </c>
      <c r="F825" s="3">
        <f t="shared" si="127"/>
        <v>24</v>
      </c>
      <c r="G825" s="3">
        <v>6799</v>
      </c>
      <c r="H825" s="5" t="s">
        <v>1715</v>
      </c>
    </row>
    <row r="826" spans="1:8" ht="21" x14ac:dyDescent="0.7">
      <c r="A826" s="2">
        <v>825</v>
      </c>
      <c r="B826" s="8" t="s">
        <v>10</v>
      </c>
      <c r="C826" s="10" t="s">
        <v>2354</v>
      </c>
      <c r="D826" s="3"/>
      <c r="E826" s="3">
        <v>1</v>
      </c>
      <c r="F826" s="3">
        <f t="shared" si="127"/>
        <v>23</v>
      </c>
      <c r="G826" s="3">
        <v>6810</v>
      </c>
      <c r="H826" s="5" t="s">
        <v>1677</v>
      </c>
    </row>
    <row r="827" spans="1:8" ht="21" x14ac:dyDescent="0.7">
      <c r="A827" s="2">
        <v>826</v>
      </c>
      <c r="B827" s="8" t="s">
        <v>10</v>
      </c>
      <c r="C827" s="10" t="s">
        <v>2354</v>
      </c>
      <c r="D827" s="3"/>
      <c r="E827" s="3">
        <v>2</v>
      </c>
      <c r="F827" s="3">
        <f t="shared" si="127"/>
        <v>21</v>
      </c>
      <c r="G827" s="3">
        <v>6809</v>
      </c>
      <c r="H827" s="5" t="s">
        <v>2201</v>
      </c>
    </row>
    <row r="828" spans="1:8" ht="21" x14ac:dyDescent="0.7">
      <c r="A828" s="2">
        <v>827</v>
      </c>
      <c r="B828" s="8" t="s">
        <v>10</v>
      </c>
      <c r="C828" s="10" t="s">
        <v>2357</v>
      </c>
      <c r="D828" s="3"/>
      <c r="E828" s="3">
        <v>4</v>
      </c>
      <c r="F828" s="3">
        <f>F827-E828</f>
        <v>17</v>
      </c>
      <c r="G828" s="3">
        <v>6818</v>
      </c>
      <c r="H828" s="5" t="s">
        <v>1270</v>
      </c>
    </row>
    <row r="829" spans="1:8" ht="21" x14ac:dyDescent="0.7">
      <c r="A829" s="2">
        <v>828</v>
      </c>
      <c r="B829" s="8" t="s">
        <v>10</v>
      </c>
      <c r="C829" s="10" t="s">
        <v>2358</v>
      </c>
      <c r="D829" s="3">
        <v>360</v>
      </c>
      <c r="E829" s="3"/>
      <c r="F829" s="3">
        <f>F828+D829</f>
        <v>377</v>
      </c>
      <c r="G829" s="42" t="s">
        <v>2359</v>
      </c>
      <c r="H829" s="43"/>
    </row>
    <row r="830" spans="1:8" ht="21" x14ac:dyDescent="0.7">
      <c r="A830" s="2">
        <v>829</v>
      </c>
      <c r="B830" s="8" t="s">
        <v>10</v>
      </c>
      <c r="C830" s="10" t="s">
        <v>2361</v>
      </c>
      <c r="D830" s="3"/>
      <c r="E830" s="3">
        <v>2</v>
      </c>
      <c r="F830" s="3">
        <f t="shared" ref="F830:F834" si="128">F829-E830</f>
        <v>375</v>
      </c>
      <c r="G830" s="3">
        <v>6825</v>
      </c>
      <c r="H830" s="5" t="s">
        <v>1313</v>
      </c>
    </row>
    <row r="831" spans="1:8" ht="21" x14ac:dyDescent="0.7">
      <c r="A831" s="2">
        <v>830</v>
      </c>
      <c r="B831" s="8" t="s">
        <v>10</v>
      </c>
      <c r="C831" s="10" t="s">
        <v>2358</v>
      </c>
      <c r="D831" s="3"/>
      <c r="E831" s="3">
        <v>3</v>
      </c>
      <c r="F831" s="3">
        <f t="shared" si="128"/>
        <v>372</v>
      </c>
      <c r="G831" s="3">
        <v>6826</v>
      </c>
      <c r="H831" s="5" t="s">
        <v>1981</v>
      </c>
    </row>
    <row r="832" spans="1:8" ht="21" x14ac:dyDescent="0.7">
      <c r="A832" s="2">
        <v>831</v>
      </c>
      <c r="B832" s="8" t="s">
        <v>10</v>
      </c>
      <c r="C832" s="10" t="s">
        <v>2362</v>
      </c>
      <c r="D832" s="3"/>
      <c r="E832" s="3">
        <v>264</v>
      </c>
      <c r="F832" s="3">
        <f t="shared" si="128"/>
        <v>108</v>
      </c>
      <c r="G832" s="3">
        <v>6829</v>
      </c>
      <c r="H832" s="5" t="s">
        <v>2322</v>
      </c>
    </row>
    <row r="833" spans="1:8" ht="21" x14ac:dyDescent="0.7">
      <c r="A833" s="2">
        <v>832</v>
      </c>
      <c r="B833" s="8" t="s">
        <v>10</v>
      </c>
      <c r="C833" s="10" t="s">
        <v>2363</v>
      </c>
      <c r="D833" s="3"/>
      <c r="E833" s="3">
        <v>1</v>
      </c>
      <c r="F833" s="3">
        <f t="shared" si="128"/>
        <v>107</v>
      </c>
      <c r="G833" s="3">
        <v>6830</v>
      </c>
      <c r="H833" s="5" t="s">
        <v>1194</v>
      </c>
    </row>
    <row r="834" spans="1:8" ht="21" x14ac:dyDescent="0.7">
      <c r="A834" s="2">
        <v>833</v>
      </c>
      <c r="B834" s="8" t="s">
        <v>10</v>
      </c>
      <c r="C834" s="10" t="s">
        <v>2367</v>
      </c>
      <c r="D834" s="3"/>
      <c r="E834" s="3">
        <v>1</v>
      </c>
      <c r="F834" s="3">
        <f t="shared" si="128"/>
        <v>106</v>
      </c>
      <c r="G834" s="3" t="s">
        <v>2369</v>
      </c>
      <c r="H834" s="5" t="s">
        <v>2370</v>
      </c>
    </row>
    <row r="835" spans="1:8" ht="21" x14ac:dyDescent="0.7">
      <c r="A835" s="2">
        <v>834</v>
      </c>
      <c r="B835" s="8" t="s">
        <v>10</v>
      </c>
      <c r="C835" s="10" t="s">
        <v>2371</v>
      </c>
      <c r="D835" s="3"/>
      <c r="E835" s="3">
        <v>6</v>
      </c>
      <c r="F835" s="3">
        <f>F834-E835</f>
        <v>100</v>
      </c>
      <c r="G835" s="3" t="s">
        <v>2372</v>
      </c>
      <c r="H835" s="5" t="s">
        <v>55</v>
      </c>
    </row>
    <row r="836" spans="1:8" ht="21" x14ac:dyDescent="0.7">
      <c r="A836" s="2">
        <v>835</v>
      </c>
      <c r="B836" s="8" t="s">
        <v>10</v>
      </c>
      <c r="C836" s="10" t="s">
        <v>2371</v>
      </c>
      <c r="D836" s="3"/>
      <c r="E836" s="3">
        <v>10</v>
      </c>
      <c r="F836" s="3">
        <f>F835-E836</f>
        <v>90</v>
      </c>
      <c r="G836" s="3">
        <v>6864</v>
      </c>
      <c r="H836" s="5" t="s">
        <v>434</v>
      </c>
    </row>
    <row r="837" spans="1:8" ht="21" x14ac:dyDescent="0.7">
      <c r="A837" s="2">
        <v>836</v>
      </c>
      <c r="B837" s="8" t="s">
        <v>10</v>
      </c>
      <c r="C837" s="10" t="s">
        <v>2373</v>
      </c>
      <c r="D837" s="3"/>
      <c r="E837" s="3">
        <v>90</v>
      </c>
      <c r="F837" s="3">
        <f>F836-E837</f>
        <v>0</v>
      </c>
      <c r="G837" s="3">
        <v>6846</v>
      </c>
      <c r="H837" s="5" t="s">
        <v>80</v>
      </c>
    </row>
    <row r="838" spans="1:8" ht="21" customHeight="1" x14ac:dyDescent="0.3">
      <c r="A838" s="2">
        <v>837</v>
      </c>
      <c r="B838" s="8" t="s">
        <v>10</v>
      </c>
      <c r="C838" s="10" t="s">
        <v>2376</v>
      </c>
      <c r="D838" s="3">
        <v>960</v>
      </c>
      <c r="E838" s="3"/>
      <c r="F838" s="3">
        <v>960</v>
      </c>
      <c r="G838" s="44" t="s">
        <v>2375</v>
      </c>
      <c r="H838" s="45"/>
    </row>
    <row r="839" spans="1:8" ht="21" x14ac:dyDescent="0.7">
      <c r="A839" s="2">
        <v>838</v>
      </c>
      <c r="B839" s="8" t="s">
        <v>10</v>
      </c>
      <c r="C839" s="10" t="s">
        <v>2376</v>
      </c>
      <c r="D839" s="3"/>
      <c r="E839" s="3">
        <v>8</v>
      </c>
      <c r="F839" s="3">
        <f t="shared" ref="F839:F844" si="129">F838-E839</f>
        <v>952</v>
      </c>
      <c r="G839" s="3" t="s">
        <v>2381</v>
      </c>
      <c r="H839" s="5" t="s">
        <v>55</v>
      </c>
    </row>
    <row r="840" spans="1:8" ht="21" x14ac:dyDescent="0.7">
      <c r="A840" s="2">
        <v>839</v>
      </c>
      <c r="B840" s="8" t="s">
        <v>10</v>
      </c>
      <c r="C840" s="10" t="s">
        <v>2376</v>
      </c>
      <c r="D840" s="3"/>
      <c r="E840" s="3">
        <v>50</v>
      </c>
      <c r="F840" s="3">
        <f t="shared" si="129"/>
        <v>902</v>
      </c>
      <c r="G840" s="3">
        <v>6855</v>
      </c>
      <c r="H840" s="5" t="s">
        <v>2322</v>
      </c>
    </row>
    <row r="841" spans="1:8" ht="21" x14ac:dyDescent="0.7">
      <c r="A841" s="2">
        <v>840</v>
      </c>
      <c r="B841" s="8" t="s">
        <v>10</v>
      </c>
      <c r="C841" s="10" t="s">
        <v>2385</v>
      </c>
      <c r="D841" s="3"/>
      <c r="E841" s="3">
        <v>6</v>
      </c>
      <c r="F841" s="3">
        <f t="shared" si="129"/>
        <v>896</v>
      </c>
      <c r="G841" s="3">
        <v>6856</v>
      </c>
      <c r="H841" s="5" t="s">
        <v>2141</v>
      </c>
    </row>
    <row r="842" spans="1:8" ht="21" x14ac:dyDescent="0.7">
      <c r="A842" s="2">
        <v>841</v>
      </c>
      <c r="B842" s="8" t="s">
        <v>10</v>
      </c>
      <c r="C842" s="10" t="s">
        <v>2385</v>
      </c>
      <c r="D842" s="3"/>
      <c r="E842" s="3">
        <v>6</v>
      </c>
      <c r="F842" s="3">
        <f t="shared" si="129"/>
        <v>890</v>
      </c>
      <c r="G842" s="3">
        <v>6857</v>
      </c>
      <c r="H842" s="5" t="s">
        <v>1450</v>
      </c>
    </row>
    <row r="843" spans="1:8" ht="21" x14ac:dyDescent="0.7">
      <c r="A843" s="2">
        <v>842</v>
      </c>
      <c r="B843" s="8" t="s">
        <v>10</v>
      </c>
      <c r="C843" s="10" t="s">
        <v>2385</v>
      </c>
      <c r="D843" s="3"/>
      <c r="E843" s="3">
        <v>55</v>
      </c>
      <c r="F843" s="3">
        <f t="shared" si="129"/>
        <v>835</v>
      </c>
      <c r="G843" s="3">
        <v>6864</v>
      </c>
      <c r="H843" s="5" t="s">
        <v>434</v>
      </c>
    </row>
    <row r="844" spans="1:8" ht="21" x14ac:dyDescent="0.7">
      <c r="A844" s="2">
        <v>843</v>
      </c>
      <c r="B844" s="8" t="s">
        <v>10</v>
      </c>
      <c r="C844" s="10" t="s">
        <v>2385</v>
      </c>
      <c r="D844" s="3"/>
      <c r="E844" s="3">
        <v>1</v>
      </c>
      <c r="F844" s="3">
        <f t="shared" si="129"/>
        <v>834</v>
      </c>
      <c r="G844" s="3">
        <v>6869</v>
      </c>
      <c r="H844" s="5" t="s">
        <v>2386</v>
      </c>
    </row>
    <row r="845" spans="1:8" ht="21" x14ac:dyDescent="0.7">
      <c r="A845" s="2">
        <v>844</v>
      </c>
      <c r="B845" s="8" t="s">
        <v>10</v>
      </c>
      <c r="C845" s="10" t="s">
        <v>2385</v>
      </c>
      <c r="D845" s="3"/>
      <c r="E845" s="3">
        <v>3</v>
      </c>
      <c r="F845" s="3">
        <f t="shared" ref="F845:F850" si="130">F844-E845</f>
        <v>831</v>
      </c>
      <c r="G845" s="3">
        <v>6873</v>
      </c>
      <c r="H845" s="5" t="s">
        <v>1715</v>
      </c>
    </row>
    <row r="846" spans="1:8" ht="21" x14ac:dyDescent="0.7">
      <c r="A846" s="2">
        <v>845</v>
      </c>
      <c r="B846" s="8" t="s">
        <v>10</v>
      </c>
      <c r="C846" s="10" t="s">
        <v>2388</v>
      </c>
      <c r="D846" s="3"/>
      <c r="E846" s="3">
        <v>10</v>
      </c>
      <c r="F846" s="3">
        <f t="shared" si="130"/>
        <v>821</v>
      </c>
      <c r="G846" s="3" t="s">
        <v>2389</v>
      </c>
      <c r="H846" s="5" t="s">
        <v>55</v>
      </c>
    </row>
    <row r="847" spans="1:8" ht="21" x14ac:dyDescent="0.7">
      <c r="A847" s="2">
        <v>846</v>
      </c>
      <c r="B847" s="8" t="s">
        <v>10</v>
      </c>
      <c r="C847" s="10" t="s">
        <v>2390</v>
      </c>
      <c r="D847" s="3"/>
      <c r="E847" s="3">
        <v>2</v>
      </c>
      <c r="F847" s="3">
        <f t="shared" si="130"/>
        <v>819</v>
      </c>
      <c r="G847" s="3" t="s">
        <v>2391</v>
      </c>
      <c r="H847" s="5" t="s">
        <v>55</v>
      </c>
    </row>
    <row r="848" spans="1:8" ht="21" x14ac:dyDescent="0.7">
      <c r="A848" s="2">
        <v>847</v>
      </c>
      <c r="B848" s="8" t="s">
        <v>10</v>
      </c>
      <c r="C848" s="10" t="s">
        <v>2392</v>
      </c>
      <c r="D848" s="3"/>
      <c r="E848" s="3">
        <v>5</v>
      </c>
      <c r="F848" s="3">
        <f t="shared" si="130"/>
        <v>814</v>
      </c>
      <c r="G848" s="3" t="s">
        <v>2393</v>
      </c>
      <c r="H848" s="5" t="s">
        <v>55</v>
      </c>
    </row>
    <row r="849" spans="1:8" ht="21" x14ac:dyDescent="0.7">
      <c r="A849" s="2">
        <v>848</v>
      </c>
      <c r="B849" s="8" t="s">
        <v>10</v>
      </c>
      <c r="C849" s="10" t="s">
        <v>2394</v>
      </c>
      <c r="D849" s="3"/>
      <c r="E849" s="3">
        <v>1</v>
      </c>
      <c r="F849" s="3">
        <f t="shared" si="130"/>
        <v>813</v>
      </c>
      <c r="G849" s="3">
        <v>6880</v>
      </c>
      <c r="H849" s="5" t="s">
        <v>1677</v>
      </c>
    </row>
    <row r="850" spans="1:8" ht="21" x14ac:dyDescent="0.7">
      <c r="A850" s="2">
        <v>849</v>
      </c>
      <c r="B850" s="8" t="s">
        <v>10</v>
      </c>
      <c r="C850" s="10" t="s">
        <v>2395</v>
      </c>
      <c r="D850" s="3"/>
      <c r="E850" s="3">
        <v>14</v>
      </c>
      <c r="F850" s="3">
        <f t="shared" si="130"/>
        <v>799</v>
      </c>
      <c r="G850" s="3">
        <v>6881</v>
      </c>
      <c r="H850" s="5" t="s">
        <v>150</v>
      </c>
    </row>
    <row r="851" spans="1:8" ht="21" x14ac:dyDescent="0.7">
      <c r="A851" s="2">
        <v>850</v>
      </c>
      <c r="B851" s="8" t="s">
        <v>10</v>
      </c>
      <c r="C851" s="10" t="s">
        <v>2397</v>
      </c>
      <c r="D851" s="3"/>
      <c r="E851" s="3">
        <v>3</v>
      </c>
      <c r="F851" s="3">
        <f t="shared" ref="F851:F854" si="131">F850-E851</f>
        <v>796</v>
      </c>
      <c r="G851" s="3" t="s">
        <v>2398</v>
      </c>
      <c r="H851" s="5" t="s">
        <v>55</v>
      </c>
    </row>
    <row r="852" spans="1:8" ht="21" x14ac:dyDescent="0.7">
      <c r="A852" s="2">
        <v>851</v>
      </c>
      <c r="B852" s="8" t="s">
        <v>10</v>
      </c>
      <c r="C852" s="10" t="s">
        <v>2399</v>
      </c>
      <c r="D852" s="3"/>
      <c r="E852" s="3">
        <v>40</v>
      </c>
      <c r="F852" s="3">
        <f t="shared" si="131"/>
        <v>756</v>
      </c>
      <c r="G852" s="3">
        <v>6887</v>
      </c>
      <c r="H852" s="5" t="s">
        <v>2261</v>
      </c>
    </row>
    <row r="853" spans="1:8" ht="21" x14ac:dyDescent="0.7">
      <c r="A853" s="2">
        <v>852</v>
      </c>
      <c r="B853" s="8" t="s">
        <v>10</v>
      </c>
      <c r="C853" s="10" t="s">
        <v>2399</v>
      </c>
      <c r="D853" s="3"/>
      <c r="E853" s="3">
        <v>50</v>
      </c>
      <c r="F853" s="3">
        <f t="shared" si="131"/>
        <v>706</v>
      </c>
      <c r="G853" s="3">
        <v>6888</v>
      </c>
      <c r="H853" s="5" t="s">
        <v>1247</v>
      </c>
    </row>
    <row r="854" spans="1:8" ht="21" x14ac:dyDescent="0.7">
      <c r="A854" s="2">
        <v>853</v>
      </c>
      <c r="B854" s="8" t="s">
        <v>10</v>
      </c>
      <c r="C854" s="10" t="s">
        <v>2400</v>
      </c>
      <c r="D854" s="3"/>
      <c r="E854" s="3">
        <v>4</v>
      </c>
      <c r="F854" s="3">
        <f t="shared" si="131"/>
        <v>702</v>
      </c>
      <c r="G854" s="3">
        <v>6889</v>
      </c>
      <c r="H854" s="5" t="s">
        <v>2401</v>
      </c>
    </row>
    <row r="855" spans="1:8" ht="21" x14ac:dyDescent="0.7">
      <c r="A855" s="2">
        <v>854</v>
      </c>
      <c r="B855" s="8" t="s">
        <v>10</v>
      </c>
      <c r="C855" s="10" t="s">
        <v>2397</v>
      </c>
      <c r="D855" s="3"/>
      <c r="E855" s="3">
        <v>3</v>
      </c>
      <c r="F855" s="3">
        <f t="shared" ref="F855:F860" si="132">F854-E855</f>
        <v>699</v>
      </c>
      <c r="G855" s="3">
        <v>6890</v>
      </c>
      <c r="H855" s="5" t="s">
        <v>1715</v>
      </c>
    </row>
    <row r="856" spans="1:8" ht="21" x14ac:dyDescent="0.7">
      <c r="A856" s="2">
        <v>855</v>
      </c>
      <c r="B856" s="8" t="s">
        <v>10</v>
      </c>
      <c r="C856" s="10" t="s">
        <v>2397</v>
      </c>
      <c r="D856" s="3"/>
      <c r="E856" s="3">
        <v>70</v>
      </c>
      <c r="F856" s="3">
        <f t="shared" si="132"/>
        <v>629</v>
      </c>
      <c r="G856" s="3">
        <v>6891</v>
      </c>
      <c r="H856" s="5" t="s">
        <v>1450</v>
      </c>
    </row>
    <row r="857" spans="1:8" ht="21" x14ac:dyDescent="0.7">
      <c r="A857" s="2">
        <v>856</v>
      </c>
      <c r="B857" s="8" t="s">
        <v>10</v>
      </c>
      <c r="C857" s="10"/>
      <c r="D857" s="3"/>
      <c r="E857" s="3"/>
      <c r="F857" s="3">
        <f t="shared" si="132"/>
        <v>629</v>
      </c>
      <c r="G857" s="3"/>
      <c r="H857" s="5"/>
    </row>
    <row r="858" spans="1:8" ht="21" x14ac:dyDescent="0.7">
      <c r="A858" s="2">
        <v>857</v>
      </c>
      <c r="B858" s="8" t="s">
        <v>10</v>
      </c>
      <c r="C858" s="10" t="s">
        <v>2405</v>
      </c>
      <c r="D858" s="3"/>
      <c r="E858" s="3">
        <v>22</v>
      </c>
      <c r="F858" s="3">
        <f t="shared" si="132"/>
        <v>607</v>
      </c>
      <c r="G858" s="3">
        <v>6897</v>
      </c>
      <c r="H858" s="5" t="s">
        <v>43</v>
      </c>
    </row>
    <row r="859" spans="1:8" ht="21" x14ac:dyDescent="0.7">
      <c r="A859" s="2">
        <v>858</v>
      </c>
      <c r="B859" s="8" t="s">
        <v>10</v>
      </c>
      <c r="C859" s="10" t="s">
        <v>2407</v>
      </c>
      <c r="D859" s="3"/>
      <c r="E859" s="3">
        <v>2</v>
      </c>
      <c r="F859" s="3">
        <f t="shared" si="132"/>
        <v>605</v>
      </c>
      <c r="G859" s="3">
        <v>6903</v>
      </c>
      <c r="H859" s="5" t="s">
        <v>830</v>
      </c>
    </row>
    <row r="860" spans="1:8" ht="21" x14ac:dyDescent="0.7">
      <c r="A860" s="2">
        <v>859</v>
      </c>
      <c r="B860" s="8" t="s">
        <v>10</v>
      </c>
      <c r="C860" s="10" t="s">
        <v>2408</v>
      </c>
      <c r="D860" s="3"/>
      <c r="E860" s="3">
        <v>1</v>
      </c>
      <c r="F860" s="3">
        <f t="shared" si="132"/>
        <v>604</v>
      </c>
      <c r="G860" s="3" t="s">
        <v>2409</v>
      </c>
      <c r="H860" s="5" t="s">
        <v>55</v>
      </c>
    </row>
    <row r="861" spans="1:8" ht="21" x14ac:dyDescent="0.7">
      <c r="A861" s="2">
        <v>860</v>
      </c>
      <c r="B861" s="8" t="s">
        <v>10</v>
      </c>
      <c r="C861" s="10" t="s">
        <v>2408</v>
      </c>
      <c r="D861" s="3"/>
      <c r="E861" s="3">
        <v>1</v>
      </c>
      <c r="F861" s="3">
        <f t="shared" ref="F861:F866" si="133">F860-E861</f>
        <v>603</v>
      </c>
      <c r="G861" s="3">
        <v>6907</v>
      </c>
      <c r="H861" s="5" t="s">
        <v>2107</v>
      </c>
    </row>
    <row r="862" spans="1:8" ht="21" x14ac:dyDescent="0.7">
      <c r="A862" s="2">
        <v>861</v>
      </c>
      <c r="B862" s="8" t="s">
        <v>10</v>
      </c>
      <c r="C862" s="10" t="s">
        <v>2408</v>
      </c>
      <c r="D862" s="3"/>
      <c r="E862" s="3">
        <v>2</v>
      </c>
      <c r="F862" s="3">
        <f t="shared" si="133"/>
        <v>601</v>
      </c>
      <c r="G862" s="3">
        <v>6908</v>
      </c>
      <c r="H862" s="5" t="s">
        <v>150</v>
      </c>
    </row>
    <row r="863" spans="1:8" ht="21" x14ac:dyDescent="0.7">
      <c r="A863" s="2">
        <v>862</v>
      </c>
      <c r="B863" s="8" t="s">
        <v>10</v>
      </c>
      <c r="C863" s="10" t="s">
        <v>2413</v>
      </c>
      <c r="D863" s="3"/>
      <c r="E863" s="3">
        <v>3</v>
      </c>
      <c r="F863" s="3">
        <f t="shared" si="133"/>
        <v>598</v>
      </c>
      <c r="G863" s="3">
        <v>6913</v>
      </c>
      <c r="H863" s="5" t="s">
        <v>1715</v>
      </c>
    </row>
    <row r="864" spans="1:8" ht="21" x14ac:dyDescent="0.7">
      <c r="A864" s="2">
        <v>863</v>
      </c>
      <c r="B864" s="8" t="s">
        <v>10</v>
      </c>
      <c r="C864" s="10" t="s">
        <v>2414</v>
      </c>
      <c r="D864" s="3"/>
      <c r="E864" s="3">
        <v>300</v>
      </c>
      <c r="F864" s="3">
        <f t="shared" si="133"/>
        <v>298</v>
      </c>
      <c r="G864" s="3">
        <v>6914</v>
      </c>
      <c r="H864" s="5" t="s">
        <v>1675</v>
      </c>
    </row>
    <row r="865" spans="1:8" ht="21" x14ac:dyDescent="0.7">
      <c r="A865" s="2">
        <v>864</v>
      </c>
      <c r="B865" s="8" t="s">
        <v>10</v>
      </c>
      <c r="C865" s="10" t="s">
        <v>2414</v>
      </c>
      <c r="D865" s="3"/>
      <c r="E865" s="3">
        <v>5</v>
      </c>
      <c r="F865" s="3">
        <f t="shared" si="133"/>
        <v>293</v>
      </c>
      <c r="G865" s="3">
        <v>6915</v>
      </c>
      <c r="H865" s="5" t="s">
        <v>168</v>
      </c>
    </row>
    <row r="866" spans="1:8" ht="21" x14ac:dyDescent="0.7">
      <c r="A866" s="2">
        <v>865</v>
      </c>
      <c r="B866" s="8" t="s">
        <v>10</v>
      </c>
      <c r="C866" s="10" t="s">
        <v>2419</v>
      </c>
      <c r="D866" s="3"/>
      <c r="E866" s="3">
        <v>3</v>
      </c>
      <c r="F866" s="3">
        <f t="shared" si="133"/>
        <v>290</v>
      </c>
      <c r="G866" s="3" t="s">
        <v>2420</v>
      </c>
      <c r="H866" s="5" t="s">
        <v>55</v>
      </c>
    </row>
    <row r="867" spans="1:8" ht="21" x14ac:dyDescent="0.7">
      <c r="A867" s="2">
        <v>866</v>
      </c>
      <c r="B867" s="8" t="s">
        <v>10</v>
      </c>
      <c r="C867" s="10" t="s">
        <v>2423</v>
      </c>
      <c r="D867" s="3"/>
      <c r="E867" s="3">
        <v>15</v>
      </c>
      <c r="F867" s="3">
        <f>F866-E867</f>
        <v>275</v>
      </c>
      <c r="G867" s="3">
        <v>6936</v>
      </c>
      <c r="H867" s="5" t="s">
        <v>2424</v>
      </c>
    </row>
    <row r="868" spans="1:8" ht="21" customHeight="1" x14ac:dyDescent="0.3">
      <c r="A868" s="2">
        <v>867</v>
      </c>
      <c r="B868" s="8" t="s">
        <v>10</v>
      </c>
      <c r="C868" s="10" t="s">
        <v>2425</v>
      </c>
      <c r="D868" s="3">
        <v>720</v>
      </c>
      <c r="E868" s="3"/>
      <c r="F868" s="3">
        <f>F867+D868</f>
        <v>995</v>
      </c>
      <c r="G868" s="44" t="s">
        <v>2426</v>
      </c>
      <c r="H868" s="45"/>
    </row>
    <row r="869" spans="1:8" ht="21" x14ac:dyDescent="0.7">
      <c r="A869" s="2">
        <v>868</v>
      </c>
      <c r="B869" s="8" t="s">
        <v>10</v>
      </c>
      <c r="C869" s="10" t="s">
        <v>2429</v>
      </c>
      <c r="D869" s="3"/>
      <c r="E869" s="3">
        <v>4</v>
      </c>
      <c r="F869" s="3">
        <f t="shared" ref="F869:F874" si="134">F868-E869</f>
        <v>991</v>
      </c>
      <c r="G869" s="3">
        <v>6934</v>
      </c>
      <c r="H869" s="5" t="s">
        <v>1355</v>
      </c>
    </row>
    <row r="870" spans="1:8" ht="21" x14ac:dyDescent="0.7">
      <c r="A870" s="2">
        <v>869</v>
      </c>
      <c r="B870" s="8" t="s">
        <v>10</v>
      </c>
      <c r="C870" s="10" t="s">
        <v>2423</v>
      </c>
      <c r="D870" s="3"/>
      <c r="E870" s="3">
        <v>4</v>
      </c>
      <c r="F870" s="3">
        <f t="shared" si="134"/>
        <v>987</v>
      </c>
      <c r="G870" s="3">
        <v>6935</v>
      </c>
      <c r="H870" s="5" t="s">
        <v>1355</v>
      </c>
    </row>
    <row r="871" spans="1:8" ht="21" x14ac:dyDescent="0.7">
      <c r="A871" s="2">
        <v>870</v>
      </c>
      <c r="B871" s="8" t="s">
        <v>10</v>
      </c>
      <c r="C871" s="10" t="s">
        <v>2430</v>
      </c>
      <c r="D871" s="3"/>
      <c r="E871" s="3">
        <v>4</v>
      </c>
      <c r="F871" s="3">
        <f t="shared" si="134"/>
        <v>983</v>
      </c>
      <c r="G871" s="3">
        <v>6937</v>
      </c>
      <c r="H871" s="5" t="s">
        <v>1355</v>
      </c>
    </row>
    <row r="872" spans="1:8" ht="21" x14ac:dyDescent="0.7">
      <c r="A872" s="2">
        <v>871</v>
      </c>
      <c r="B872" s="8" t="s">
        <v>10</v>
      </c>
      <c r="C872" s="10" t="s">
        <v>2431</v>
      </c>
      <c r="D872" s="3"/>
      <c r="E872" s="3">
        <v>4</v>
      </c>
      <c r="F872" s="3">
        <f t="shared" si="134"/>
        <v>979</v>
      </c>
      <c r="G872" s="3">
        <v>6938</v>
      </c>
      <c r="H872" s="5" t="s">
        <v>1355</v>
      </c>
    </row>
    <row r="873" spans="1:8" ht="21" x14ac:dyDescent="0.7">
      <c r="A873" s="2">
        <v>872</v>
      </c>
      <c r="B873" s="8" t="s">
        <v>10</v>
      </c>
      <c r="C873" s="10" t="s">
        <v>2432</v>
      </c>
      <c r="D873" s="3"/>
      <c r="E873" s="3">
        <v>4</v>
      </c>
      <c r="F873" s="3">
        <f t="shared" si="134"/>
        <v>975</v>
      </c>
      <c r="G873" s="3">
        <v>6941</v>
      </c>
      <c r="H873" s="5" t="s">
        <v>1355</v>
      </c>
    </row>
    <row r="874" spans="1:8" ht="21" x14ac:dyDescent="0.7">
      <c r="A874" s="2">
        <v>873</v>
      </c>
      <c r="B874" s="8" t="s">
        <v>10</v>
      </c>
      <c r="C874" s="10" t="s">
        <v>2433</v>
      </c>
      <c r="D874" s="3"/>
      <c r="E874" s="3">
        <v>4</v>
      </c>
      <c r="F874" s="3">
        <f t="shared" si="134"/>
        <v>971</v>
      </c>
      <c r="G874" s="3">
        <v>6942</v>
      </c>
      <c r="H874" s="5" t="s">
        <v>1355</v>
      </c>
    </row>
    <row r="875" spans="1:8" ht="21" x14ac:dyDescent="0.7">
      <c r="A875" s="2">
        <v>874</v>
      </c>
      <c r="B875" s="8" t="s">
        <v>10</v>
      </c>
      <c r="C875" s="10" t="s">
        <v>2434</v>
      </c>
      <c r="D875" s="3"/>
      <c r="E875" s="3">
        <v>1</v>
      </c>
      <c r="F875" s="3">
        <f t="shared" ref="F875:F880" si="135">F874-E875</f>
        <v>970</v>
      </c>
      <c r="G875" s="3">
        <v>6944</v>
      </c>
      <c r="H875" s="5" t="s">
        <v>1677</v>
      </c>
    </row>
    <row r="876" spans="1:8" ht="21" x14ac:dyDescent="0.7">
      <c r="A876" s="2">
        <v>875</v>
      </c>
      <c r="B876" s="8" t="s">
        <v>10</v>
      </c>
      <c r="C876" s="10" t="s">
        <v>2434</v>
      </c>
      <c r="D876" s="3"/>
      <c r="E876" s="3">
        <v>3</v>
      </c>
      <c r="F876" s="3">
        <f t="shared" si="135"/>
        <v>967</v>
      </c>
      <c r="G876" s="3">
        <v>6946</v>
      </c>
      <c r="H876" s="5" t="s">
        <v>1715</v>
      </c>
    </row>
    <row r="877" spans="1:8" ht="21" x14ac:dyDescent="0.7">
      <c r="A877" s="2">
        <v>876</v>
      </c>
      <c r="B877" s="8" t="s">
        <v>10</v>
      </c>
      <c r="C877" s="10" t="s">
        <v>2436</v>
      </c>
      <c r="D877" s="3"/>
      <c r="E877" s="3">
        <v>1</v>
      </c>
      <c r="F877" s="3">
        <f t="shared" si="135"/>
        <v>966</v>
      </c>
      <c r="G877" s="3">
        <v>6953</v>
      </c>
      <c r="H877" s="5" t="s">
        <v>2437</v>
      </c>
    </row>
    <row r="878" spans="1:8" ht="21" x14ac:dyDescent="0.7">
      <c r="A878" s="2">
        <v>877</v>
      </c>
      <c r="B878" s="8" t="s">
        <v>10</v>
      </c>
      <c r="C878" s="10" t="s">
        <v>2439</v>
      </c>
      <c r="D878" s="3"/>
      <c r="E878" s="3">
        <v>200</v>
      </c>
      <c r="F878" s="3">
        <f t="shared" si="135"/>
        <v>766</v>
      </c>
      <c r="G878" s="3" t="s">
        <v>2369</v>
      </c>
      <c r="H878" s="5" t="s">
        <v>2441</v>
      </c>
    </row>
    <row r="879" spans="1:8" ht="21" x14ac:dyDescent="0.7">
      <c r="A879" s="2">
        <v>878</v>
      </c>
      <c r="B879" s="8" t="s">
        <v>10</v>
      </c>
      <c r="C879" s="10" t="s">
        <v>2446</v>
      </c>
      <c r="D879" s="3"/>
      <c r="E879" s="3">
        <v>2</v>
      </c>
      <c r="F879" s="3">
        <f t="shared" si="135"/>
        <v>764</v>
      </c>
      <c r="G879" s="3" t="s">
        <v>2447</v>
      </c>
      <c r="H879" s="5" t="s">
        <v>2448</v>
      </c>
    </row>
    <row r="880" spans="1:8" ht="21" x14ac:dyDescent="0.7">
      <c r="A880" s="2">
        <v>879</v>
      </c>
      <c r="B880" s="8" t="s">
        <v>10</v>
      </c>
      <c r="C880" s="10" t="s">
        <v>2450</v>
      </c>
      <c r="D880" s="3"/>
      <c r="E880" s="3">
        <v>1</v>
      </c>
      <c r="F880" s="3">
        <f t="shared" si="135"/>
        <v>763</v>
      </c>
      <c r="G880" s="3">
        <v>6961</v>
      </c>
      <c r="H880" s="5" t="s">
        <v>2451</v>
      </c>
    </row>
    <row r="881" spans="1:9" ht="21" x14ac:dyDescent="0.7">
      <c r="A881" s="2">
        <v>880</v>
      </c>
      <c r="B881" s="8" t="s">
        <v>10</v>
      </c>
      <c r="C881" s="10" t="s">
        <v>2450</v>
      </c>
      <c r="D881" s="3"/>
      <c r="E881" s="3">
        <v>1</v>
      </c>
      <c r="F881" s="3">
        <f t="shared" ref="F881:F886" si="136">F880-E881</f>
        <v>762</v>
      </c>
      <c r="G881" s="3">
        <v>6962</v>
      </c>
      <c r="H881" s="5" t="s">
        <v>2452</v>
      </c>
    </row>
    <row r="882" spans="1:9" ht="21" x14ac:dyDescent="0.7">
      <c r="A882" s="2">
        <v>881</v>
      </c>
      <c r="B882" s="8" t="s">
        <v>10</v>
      </c>
      <c r="C882" s="10" t="s">
        <v>2455</v>
      </c>
      <c r="D882" s="3"/>
      <c r="E882" s="3">
        <v>7</v>
      </c>
      <c r="F882" s="3">
        <f t="shared" si="136"/>
        <v>755</v>
      </c>
      <c r="G882" s="3">
        <v>6965</v>
      </c>
      <c r="H882" s="5" t="s">
        <v>46</v>
      </c>
    </row>
    <row r="883" spans="1:9" ht="21" x14ac:dyDescent="0.7">
      <c r="A883" s="2">
        <v>882</v>
      </c>
      <c r="B883" s="8" t="s">
        <v>10</v>
      </c>
      <c r="C883" s="10" t="s">
        <v>2455</v>
      </c>
      <c r="D883" s="3"/>
      <c r="E883" s="3">
        <v>1</v>
      </c>
      <c r="F883" s="3">
        <f t="shared" si="136"/>
        <v>754</v>
      </c>
      <c r="G883" s="3">
        <v>6967</v>
      </c>
      <c r="H883" s="5" t="s">
        <v>2452</v>
      </c>
    </row>
    <row r="884" spans="1:9" ht="21" x14ac:dyDescent="0.7">
      <c r="A884" s="2">
        <v>883</v>
      </c>
      <c r="B884" s="8" t="s">
        <v>10</v>
      </c>
      <c r="C884" s="10" t="s">
        <v>2471</v>
      </c>
      <c r="D884" s="3"/>
      <c r="E884" s="3">
        <v>39</v>
      </c>
      <c r="F884" s="3">
        <f t="shared" si="136"/>
        <v>715</v>
      </c>
      <c r="G884" s="3">
        <v>6995</v>
      </c>
      <c r="H884" s="5" t="s">
        <v>80</v>
      </c>
      <c r="I884" t="s">
        <v>2472</v>
      </c>
    </row>
    <row r="885" spans="1:9" ht="21" x14ac:dyDescent="0.7">
      <c r="A885" s="2">
        <v>884</v>
      </c>
      <c r="B885" s="8" t="s">
        <v>10</v>
      </c>
      <c r="C885" s="10" t="s">
        <v>2455</v>
      </c>
      <c r="D885" s="3"/>
      <c r="E885" s="3">
        <v>15</v>
      </c>
      <c r="F885" s="3">
        <f t="shared" si="136"/>
        <v>700</v>
      </c>
      <c r="G885" s="3">
        <v>6971</v>
      </c>
      <c r="H885" s="5" t="s">
        <v>2424</v>
      </c>
    </row>
    <row r="886" spans="1:9" ht="21" x14ac:dyDescent="0.7">
      <c r="A886" s="2">
        <v>885</v>
      </c>
      <c r="B886" s="8" t="s">
        <v>10</v>
      </c>
      <c r="C886" s="10" t="s">
        <v>2457</v>
      </c>
      <c r="D886" s="3"/>
      <c r="E886" s="3">
        <v>12</v>
      </c>
      <c r="F886" s="3">
        <f t="shared" si="136"/>
        <v>688</v>
      </c>
      <c r="G886" s="3" t="s">
        <v>2458</v>
      </c>
      <c r="H886" s="5" t="s">
        <v>55</v>
      </c>
    </row>
    <row r="887" spans="1:9" ht="21" x14ac:dyDescent="0.7">
      <c r="A887" s="2">
        <v>886</v>
      </c>
      <c r="B887" s="8" t="s">
        <v>10</v>
      </c>
      <c r="C887" s="10" t="s">
        <v>2459</v>
      </c>
      <c r="D887" s="3"/>
      <c r="E887" s="3">
        <v>2</v>
      </c>
      <c r="F887" s="3">
        <f t="shared" ref="F887:F892" si="137">F886-E887</f>
        <v>686</v>
      </c>
      <c r="G887" s="3">
        <v>6974</v>
      </c>
      <c r="H887" s="5" t="s">
        <v>149</v>
      </c>
    </row>
    <row r="888" spans="1:9" ht="21" x14ac:dyDescent="0.7">
      <c r="A888" s="2">
        <v>887</v>
      </c>
      <c r="B888" s="8" t="s">
        <v>10</v>
      </c>
      <c r="C888" s="10" t="s">
        <v>2460</v>
      </c>
      <c r="D888" s="3"/>
      <c r="E888" s="3">
        <v>6</v>
      </c>
      <c r="F888" s="3">
        <f t="shared" si="137"/>
        <v>680</v>
      </c>
      <c r="G888" s="3">
        <v>6984</v>
      </c>
      <c r="H888" s="5" t="s">
        <v>1715</v>
      </c>
    </row>
    <row r="889" spans="1:9" ht="21" x14ac:dyDescent="0.7">
      <c r="A889" s="2">
        <v>888</v>
      </c>
      <c r="B889" s="8" t="s">
        <v>10</v>
      </c>
      <c r="C889" s="10" t="s">
        <v>2466</v>
      </c>
      <c r="D889" s="3"/>
      <c r="E889" s="3">
        <v>15</v>
      </c>
      <c r="F889" s="3">
        <f t="shared" si="137"/>
        <v>665</v>
      </c>
      <c r="G889" s="3">
        <v>6989</v>
      </c>
      <c r="H889" s="5" t="s">
        <v>2424</v>
      </c>
    </row>
    <row r="890" spans="1:9" ht="21" x14ac:dyDescent="0.7">
      <c r="A890" s="2">
        <v>889</v>
      </c>
      <c r="B890" s="8" t="s">
        <v>10</v>
      </c>
      <c r="C890" s="10" t="s">
        <v>2468</v>
      </c>
      <c r="D890" s="3"/>
      <c r="E890" s="3">
        <v>5</v>
      </c>
      <c r="F890" s="3">
        <f t="shared" si="137"/>
        <v>660</v>
      </c>
      <c r="G890" s="3" t="s">
        <v>2469</v>
      </c>
      <c r="H890" s="5" t="s">
        <v>55</v>
      </c>
    </row>
    <row r="891" spans="1:9" ht="21" x14ac:dyDescent="0.7">
      <c r="A891" s="2">
        <v>890</v>
      </c>
      <c r="B891" s="8" t="s">
        <v>10</v>
      </c>
      <c r="C891" s="10" t="s">
        <v>2471</v>
      </c>
      <c r="D891" s="3"/>
      <c r="E891" s="3">
        <v>2</v>
      </c>
      <c r="F891" s="3">
        <f t="shared" si="137"/>
        <v>658</v>
      </c>
      <c r="G891" s="3">
        <v>6992</v>
      </c>
      <c r="H891" s="5" t="s">
        <v>1232</v>
      </c>
    </row>
    <row r="892" spans="1:9" ht="21" x14ac:dyDescent="0.7">
      <c r="A892" s="2">
        <v>891</v>
      </c>
      <c r="B892" s="8" t="s">
        <v>10</v>
      </c>
      <c r="C892" s="10" t="s">
        <v>2468</v>
      </c>
      <c r="D892" s="3"/>
      <c r="E892" s="3">
        <v>1</v>
      </c>
      <c r="F892" s="3">
        <f t="shared" si="137"/>
        <v>657</v>
      </c>
      <c r="G892" s="3">
        <v>6999</v>
      </c>
      <c r="H892" s="5" t="s">
        <v>1677</v>
      </c>
    </row>
    <row r="893" spans="1:9" ht="21" x14ac:dyDescent="0.7">
      <c r="A893" s="2">
        <v>892</v>
      </c>
      <c r="B893" s="8" t="s">
        <v>10</v>
      </c>
      <c r="C893" s="10" t="s">
        <v>2475</v>
      </c>
      <c r="D893" s="3"/>
      <c r="E893" s="3">
        <v>10</v>
      </c>
      <c r="F893" s="3">
        <f t="shared" ref="F893:F898" si="138">F892-E893</f>
        <v>647</v>
      </c>
      <c r="G893" s="3" t="s">
        <v>2476</v>
      </c>
      <c r="H893" s="5" t="s">
        <v>55</v>
      </c>
    </row>
    <row r="894" spans="1:9" ht="21" x14ac:dyDescent="0.7">
      <c r="A894" s="2">
        <v>893</v>
      </c>
      <c r="B894" s="8" t="s">
        <v>10</v>
      </c>
      <c r="C894" s="10" t="s">
        <v>2477</v>
      </c>
      <c r="D894" s="3"/>
      <c r="E894" s="3">
        <v>5</v>
      </c>
      <c r="F894" s="3">
        <f t="shared" si="138"/>
        <v>642</v>
      </c>
      <c r="G894" s="3" t="s">
        <v>2478</v>
      </c>
      <c r="H894" s="5" t="s">
        <v>55</v>
      </c>
    </row>
    <row r="895" spans="1:9" ht="21" x14ac:dyDescent="0.7">
      <c r="A895" s="2">
        <v>894</v>
      </c>
      <c r="B895" s="8" t="s">
        <v>10</v>
      </c>
      <c r="C895" s="10" t="s">
        <v>2479</v>
      </c>
      <c r="D895" s="3"/>
      <c r="E895" s="3">
        <v>20</v>
      </c>
      <c r="F895" s="3">
        <f t="shared" si="138"/>
        <v>622</v>
      </c>
      <c r="G895" s="3">
        <v>7010</v>
      </c>
      <c r="H895" s="5" t="s">
        <v>80</v>
      </c>
    </row>
    <row r="896" spans="1:9" ht="21" x14ac:dyDescent="0.7">
      <c r="A896" s="2">
        <v>895</v>
      </c>
      <c r="B896" s="8" t="s">
        <v>10</v>
      </c>
      <c r="C896" s="10" t="s">
        <v>2481</v>
      </c>
      <c r="D896" s="3"/>
      <c r="E896" s="3">
        <v>10</v>
      </c>
      <c r="F896" s="3">
        <f t="shared" si="138"/>
        <v>612</v>
      </c>
      <c r="G896" s="3">
        <v>7012</v>
      </c>
      <c r="H896" s="5" t="s">
        <v>2482</v>
      </c>
    </row>
    <row r="897" spans="1:8" ht="21" x14ac:dyDescent="0.7">
      <c r="A897" s="2">
        <v>896</v>
      </c>
      <c r="B897" s="8" t="s">
        <v>10</v>
      </c>
      <c r="C897" s="10" t="s">
        <v>2485</v>
      </c>
      <c r="D897" s="3"/>
      <c r="E897" s="3">
        <v>3</v>
      </c>
      <c r="F897" s="3">
        <f t="shared" si="138"/>
        <v>609</v>
      </c>
      <c r="G897" s="3">
        <v>7015</v>
      </c>
      <c r="H897" s="5" t="s">
        <v>1270</v>
      </c>
    </row>
    <row r="898" spans="1:8" ht="21" x14ac:dyDescent="0.7">
      <c r="A898" s="2">
        <v>897</v>
      </c>
      <c r="B898" s="8" t="s">
        <v>10</v>
      </c>
      <c r="C898" s="10" t="s">
        <v>2486</v>
      </c>
      <c r="D898" s="3"/>
      <c r="E898" s="3">
        <v>50</v>
      </c>
      <c r="F898" s="3">
        <f t="shared" si="138"/>
        <v>559</v>
      </c>
      <c r="G898" s="3">
        <v>7018</v>
      </c>
      <c r="H898" s="5" t="s">
        <v>1673</v>
      </c>
    </row>
    <row r="899" spans="1:8" ht="21" x14ac:dyDescent="0.7">
      <c r="A899" s="2">
        <v>898</v>
      </c>
      <c r="B899" s="8" t="s">
        <v>10</v>
      </c>
      <c r="C899" s="10" t="s">
        <v>2487</v>
      </c>
      <c r="D899" s="3"/>
      <c r="E899" s="3">
        <v>10</v>
      </c>
      <c r="F899" s="3">
        <f t="shared" ref="F899:F904" si="139">F898-E899</f>
        <v>549</v>
      </c>
      <c r="G899" s="3">
        <v>7019</v>
      </c>
      <c r="H899" s="5" t="s">
        <v>1390</v>
      </c>
    </row>
    <row r="900" spans="1:8" ht="21" x14ac:dyDescent="0.7">
      <c r="A900" s="2">
        <v>899</v>
      </c>
      <c r="B900" s="8" t="s">
        <v>10</v>
      </c>
      <c r="C900" s="10" t="s">
        <v>2490</v>
      </c>
      <c r="D900" s="3"/>
      <c r="E900" s="3">
        <v>21</v>
      </c>
      <c r="F900" s="3">
        <f t="shared" si="139"/>
        <v>528</v>
      </c>
      <c r="G900" s="3">
        <v>7023</v>
      </c>
      <c r="H900" s="5" t="s">
        <v>639</v>
      </c>
    </row>
    <row r="901" spans="1:8" ht="21" x14ac:dyDescent="0.7">
      <c r="A901" s="2">
        <v>900</v>
      </c>
      <c r="B901" s="8" t="s">
        <v>10</v>
      </c>
      <c r="C901" s="10" t="s">
        <v>2493</v>
      </c>
      <c r="D901" s="3"/>
      <c r="E901" s="3">
        <v>25</v>
      </c>
      <c r="F901" s="3">
        <f t="shared" si="139"/>
        <v>503</v>
      </c>
      <c r="G901" s="3">
        <v>7027</v>
      </c>
      <c r="H901" s="5" t="s">
        <v>1087</v>
      </c>
    </row>
    <row r="902" spans="1:8" ht="21" x14ac:dyDescent="0.7">
      <c r="A902" s="2">
        <v>901</v>
      </c>
      <c r="B902" s="8" t="s">
        <v>10</v>
      </c>
      <c r="C902" s="10" t="s">
        <v>2494</v>
      </c>
      <c r="D902" s="3"/>
      <c r="E902" s="3">
        <v>3</v>
      </c>
      <c r="F902" s="3">
        <f t="shared" si="139"/>
        <v>500</v>
      </c>
      <c r="G902" s="3">
        <v>7030</v>
      </c>
      <c r="H902" s="5" t="s">
        <v>1715</v>
      </c>
    </row>
    <row r="903" spans="1:8" ht="21" x14ac:dyDescent="0.7">
      <c r="A903" s="2">
        <v>902</v>
      </c>
      <c r="B903" s="8" t="s">
        <v>10</v>
      </c>
      <c r="C903" s="10" t="s">
        <v>2497</v>
      </c>
      <c r="D903" s="3"/>
      <c r="E903" s="3">
        <v>3</v>
      </c>
      <c r="F903" s="3">
        <f t="shared" si="139"/>
        <v>497</v>
      </c>
      <c r="G903" s="3" t="s">
        <v>2496</v>
      </c>
      <c r="H903" s="5" t="s">
        <v>55</v>
      </c>
    </row>
    <row r="904" spans="1:8" ht="21" x14ac:dyDescent="0.7">
      <c r="A904" s="2">
        <v>903</v>
      </c>
      <c r="B904" s="8" t="s">
        <v>10</v>
      </c>
      <c r="C904" s="10" t="s">
        <v>2498</v>
      </c>
      <c r="D904" s="3"/>
      <c r="E904" s="3">
        <v>4</v>
      </c>
      <c r="F904" s="3">
        <f t="shared" si="139"/>
        <v>493</v>
      </c>
      <c r="G904" s="3">
        <v>7036</v>
      </c>
      <c r="H904" s="5" t="s">
        <v>1675</v>
      </c>
    </row>
    <row r="905" spans="1:8" ht="21" x14ac:dyDescent="0.7">
      <c r="A905" s="2">
        <v>904</v>
      </c>
      <c r="B905" s="8" t="s">
        <v>10</v>
      </c>
      <c r="C905" s="10" t="s">
        <v>2499</v>
      </c>
      <c r="D905" s="3"/>
      <c r="E905" s="3">
        <v>50</v>
      </c>
      <c r="F905" s="3">
        <f t="shared" ref="F905:F909" si="140">F904-E905</f>
        <v>443</v>
      </c>
      <c r="G905" s="3">
        <v>7039</v>
      </c>
      <c r="H905" s="5" t="s">
        <v>1673</v>
      </c>
    </row>
    <row r="906" spans="1:8" ht="21" x14ac:dyDescent="0.7">
      <c r="A906" s="2">
        <v>905</v>
      </c>
      <c r="B906" s="8" t="s">
        <v>10</v>
      </c>
      <c r="C906" s="10" t="s">
        <v>2499</v>
      </c>
      <c r="D906" s="3"/>
      <c r="E906" s="3">
        <v>3</v>
      </c>
      <c r="F906" s="3">
        <f t="shared" si="140"/>
        <v>440</v>
      </c>
      <c r="G906" s="3">
        <v>7040</v>
      </c>
      <c r="H906" s="5" t="s">
        <v>2500</v>
      </c>
    </row>
    <row r="907" spans="1:8" ht="21" x14ac:dyDescent="0.7">
      <c r="A907" s="2">
        <v>906</v>
      </c>
      <c r="B907" s="8" t="s">
        <v>10</v>
      </c>
      <c r="C907" s="10" t="s">
        <v>2499</v>
      </c>
      <c r="D907" s="3"/>
      <c r="E907" s="3">
        <v>1</v>
      </c>
      <c r="F907" s="3">
        <f t="shared" si="140"/>
        <v>439</v>
      </c>
      <c r="G907" s="3">
        <v>7041</v>
      </c>
      <c r="H907" s="5" t="s">
        <v>1764</v>
      </c>
    </row>
    <row r="908" spans="1:8" ht="21" x14ac:dyDescent="0.7">
      <c r="A908" s="2">
        <v>907</v>
      </c>
      <c r="B908" s="8" t="s">
        <v>10</v>
      </c>
      <c r="C908" s="10" t="s">
        <v>2499</v>
      </c>
      <c r="D908" s="3"/>
      <c r="E908" s="3">
        <v>1</v>
      </c>
      <c r="F908" s="3">
        <f t="shared" si="140"/>
        <v>438</v>
      </c>
      <c r="G908" s="3">
        <v>7043</v>
      </c>
      <c r="H908" s="5" t="s">
        <v>1686</v>
      </c>
    </row>
    <row r="909" spans="1:8" ht="21" x14ac:dyDescent="0.7">
      <c r="A909" s="2">
        <v>908</v>
      </c>
      <c r="B909" s="8" t="s">
        <v>10</v>
      </c>
      <c r="C909" s="10" t="s">
        <v>2501</v>
      </c>
      <c r="D909" s="3"/>
      <c r="E909" s="3">
        <v>200</v>
      </c>
      <c r="F909" s="3">
        <f t="shared" si="140"/>
        <v>238</v>
      </c>
      <c r="G909" s="3">
        <v>7044</v>
      </c>
      <c r="H909" s="5" t="s">
        <v>2322</v>
      </c>
    </row>
    <row r="910" spans="1:8" ht="21" x14ac:dyDescent="0.7">
      <c r="A910" s="2">
        <v>909</v>
      </c>
      <c r="B910" s="8" t="s">
        <v>10</v>
      </c>
      <c r="C910" s="10" t="s">
        <v>2509</v>
      </c>
      <c r="D910" s="3"/>
      <c r="E910" s="3">
        <v>10</v>
      </c>
      <c r="F910" s="3">
        <f t="shared" ref="F910:F914" si="141">F909-E910</f>
        <v>228</v>
      </c>
      <c r="G910" s="3">
        <v>7057</v>
      </c>
      <c r="H910" s="5" t="s">
        <v>2482</v>
      </c>
    </row>
    <row r="911" spans="1:8" ht="21" x14ac:dyDescent="0.7">
      <c r="A911" s="2">
        <v>910</v>
      </c>
      <c r="B911" s="8" t="s">
        <v>10</v>
      </c>
      <c r="C911" s="10" t="s">
        <v>2510</v>
      </c>
      <c r="D911" s="3"/>
      <c r="E911" s="3">
        <v>1</v>
      </c>
      <c r="F911" s="3">
        <f t="shared" si="141"/>
        <v>227</v>
      </c>
      <c r="G911" s="3">
        <v>7060</v>
      </c>
      <c r="H911" s="5" t="s">
        <v>1677</v>
      </c>
    </row>
    <row r="912" spans="1:8" ht="21" x14ac:dyDescent="0.7">
      <c r="A912" s="2">
        <v>911</v>
      </c>
      <c r="B912" s="8" t="s">
        <v>10</v>
      </c>
      <c r="C912" s="10" t="s">
        <v>2510</v>
      </c>
      <c r="D912" s="3"/>
      <c r="E912" s="3">
        <v>20</v>
      </c>
      <c r="F912" s="3">
        <f t="shared" si="141"/>
        <v>207</v>
      </c>
      <c r="G912" s="3">
        <v>7061</v>
      </c>
      <c r="H912" s="5" t="s">
        <v>128</v>
      </c>
    </row>
    <row r="913" spans="1:8" ht="21" x14ac:dyDescent="0.7">
      <c r="A913" s="2">
        <v>912</v>
      </c>
      <c r="B913" s="8" t="s">
        <v>10</v>
      </c>
      <c r="C913" s="10" t="s">
        <v>2511</v>
      </c>
      <c r="D913" s="3"/>
      <c r="E913" s="3">
        <v>3</v>
      </c>
      <c r="F913" s="3">
        <f t="shared" si="141"/>
        <v>204</v>
      </c>
      <c r="G913" s="3">
        <v>7075</v>
      </c>
      <c r="H913" s="5" t="s">
        <v>1142</v>
      </c>
    </row>
    <row r="914" spans="1:8" ht="21" x14ac:dyDescent="0.7">
      <c r="A914" s="2">
        <v>913</v>
      </c>
      <c r="B914" s="8" t="s">
        <v>10</v>
      </c>
      <c r="C914" s="10" t="s">
        <v>2511</v>
      </c>
      <c r="D914" s="3"/>
      <c r="E914" s="3">
        <v>1</v>
      </c>
      <c r="F914" s="3">
        <f t="shared" si="141"/>
        <v>203</v>
      </c>
      <c r="G914" s="3">
        <v>7076</v>
      </c>
      <c r="H914" s="5" t="s">
        <v>2512</v>
      </c>
    </row>
    <row r="915" spans="1:8" ht="21" x14ac:dyDescent="0.7">
      <c r="A915" s="2">
        <v>914</v>
      </c>
      <c r="B915" s="8" t="s">
        <v>10</v>
      </c>
      <c r="C915" s="10" t="s">
        <v>2514</v>
      </c>
      <c r="D915" s="3"/>
      <c r="E915" s="3">
        <v>1</v>
      </c>
      <c r="F915" s="3">
        <f t="shared" ref="F915:F921" si="142">F914-E915</f>
        <v>202</v>
      </c>
      <c r="G915" s="3">
        <v>7086</v>
      </c>
      <c r="H915" s="5" t="s">
        <v>2515</v>
      </c>
    </row>
    <row r="916" spans="1:8" ht="21" x14ac:dyDescent="0.7">
      <c r="A916" s="2">
        <v>915</v>
      </c>
      <c r="B916" s="8" t="s">
        <v>10</v>
      </c>
      <c r="C916" s="10" t="s">
        <v>2514</v>
      </c>
      <c r="D916" s="3"/>
      <c r="E916" s="3">
        <v>2</v>
      </c>
      <c r="F916" s="3">
        <f t="shared" si="142"/>
        <v>200</v>
      </c>
      <c r="G916" s="3">
        <v>7087</v>
      </c>
      <c r="H916" s="5" t="s">
        <v>2517</v>
      </c>
    </row>
    <row r="917" spans="1:8" ht="21" x14ac:dyDescent="0.7">
      <c r="A917" s="2">
        <v>916</v>
      </c>
      <c r="B917" s="8" t="s">
        <v>10</v>
      </c>
      <c r="C917" s="10" t="s">
        <v>2514</v>
      </c>
      <c r="D917" s="3"/>
      <c r="E917" s="3">
        <v>10</v>
      </c>
      <c r="F917" s="3">
        <f t="shared" si="142"/>
        <v>190</v>
      </c>
      <c r="G917" s="3">
        <v>7088</v>
      </c>
      <c r="H917" s="5" t="s">
        <v>2482</v>
      </c>
    </row>
    <row r="918" spans="1:8" ht="21" x14ac:dyDescent="0.7">
      <c r="A918" s="2">
        <v>917</v>
      </c>
      <c r="B918" s="8" t="s">
        <v>10</v>
      </c>
      <c r="C918" s="10" t="s">
        <v>2519</v>
      </c>
      <c r="D918" s="3"/>
      <c r="E918" s="3">
        <v>120</v>
      </c>
      <c r="F918" s="3">
        <f t="shared" si="142"/>
        <v>70</v>
      </c>
      <c r="G918" s="3">
        <v>7090</v>
      </c>
      <c r="H918" s="5" t="s">
        <v>80</v>
      </c>
    </row>
    <row r="919" spans="1:8" ht="21" x14ac:dyDescent="0.7">
      <c r="A919" s="2">
        <v>918</v>
      </c>
      <c r="B919" s="8" t="s">
        <v>10</v>
      </c>
      <c r="C919" s="10" t="s">
        <v>2526</v>
      </c>
      <c r="D919" s="3"/>
      <c r="E919" s="3">
        <v>3</v>
      </c>
      <c r="F919" s="3">
        <f t="shared" si="142"/>
        <v>67</v>
      </c>
      <c r="G919" s="3">
        <v>7095</v>
      </c>
      <c r="H919" s="5" t="s">
        <v>1715</v>
      </c>
    </row>
    <row r="920" spans="1:8" ht="21" x14ac:dyDescent="0.7">
      <c r="A920" s="2">
        <v>919</v>
      </c>
      <c r="B920" s="8" t="s">
        <v>10</v>
      </c>
      <c r="C920" s="10" t="s">
        <v>2524</v>
      </c>
      <c r="D920" s="3"/>
      <c r="E920" s="3">
        <v>7</v>
      </c>
      <c r="F920" s="3">
        <f t="shared" si="142"/>
        <v>60</v>
      </c>
      <c r="G920" s="3">
        <v>7098</v>
      </c>
      <c r="H920" s="5" t="s">
        <v>149</v>
      </c>
    </row>
    <row r="921" spans="1:8" ht="21" x14ac:dyDescent="0.7">
      <c r="A921" s="2">
        <v>920</v>
      </c>
      <c r="B921" s="8" t="s">
        <v>10</v>
      </c>
      <c r="C921" s="10" t="s">
        <v>2524</v>
      </c>
      <c r="D921" s="3"/>
      <c r="E921" s="3">
        <v>50</v>
      </c>
      <c r="F921" s="3">
        <f t="shared" si="142"/>
        <v>10</v>
      </c>
      <c r="G921" s="3">
        <v>7099</v>
      </c>
      <c r="H921" s="5" t="s">
        <v>2322</v>
      </c>
    </row>
    <row r="922" spans="1:8" ht="21" x14ac:dyDescent="0.7">
      <c r="A922" s="2">
        <v>921</v>
      </c>
      <c r="B922" s="8" t="s">
        <v>10</v>
      </c>
      <c r="C922" s="10" t="s">
        <v>2527</v>
      </c>
      <c r="D922" s="3"/>
      <c r="E922" s="3">
        <v>9</v>
      </c>
      <c r="F922" s="3">
        <f>F921-E922</f>
        <v>1</v>
      </c>
      <c r="G922" s="3" t="s">
        <v>2528</v>
      </c>
      <c r="H922" s="5" t="s">
        <v>55</v>
      </c>
    </row>
    <row r="923" spans="1:8" ht="21" customHeight="1" x14ac:dyDescent="0.3">
      <c r="A923" s="2">
        <v>922</v>
      </c>
      <c r="B923" s="8" t="s">
        <v>10</v>
      </c>
      <c r="C923" s="10" t="s">
        <v>2529</v>
      </c>
      <c r="D923" s="3">
        <v>552</v>
      </c>
      <c r="E923" s="3"/>
      <c r="F923" s="3">
        <f>F922+D923</f>
        <v>553</v>
      </c>
      <c r="H923" s="38" t="s">
        <v>2530</v>
      </c>
    </row>
    <row r="924" spans="1:8" ht="21" x14ac:dyDescent="0.7">
      <c r="A924" s="2">
        <v>923</v>
      </c>
      <c r="B924" s="8" t="s">
        <v>10</v>
      </c>
      <c r="C924" s="10" t="s">
        <v>2534</v>
      </c>
      <c r="D924" s="3"/>
      <c r="E924" s="3">
        <v>200</v>
      </c>
      <c r="F924" s="3">
        <f t="shared" ref="F924:F929" si="143">F923-E924</f>
        <v>353</v>
      </c>
      <c r="G924" s="3">
        <v>7116</v>
      </c>
      <c r="H924" s="5" t="s">
        <v>2322</v>
      </c>
    </row>
    <row r="925" spans="1:8" ht="21" x14ac:dyDescent="0.7">
      <c r="A925" s="2">
        <v>924</v>
      </c>
      <c r="B925" s="8" t="s">
        <v>10</v>
      </c>
      <c r="C925" s="10" t="s">
        <v>2535</v>
      </c>
      <c r="D925" s="3"/>
      <c r="E925" s="3">
        <v>5</v>
      </c>
      <c r="F925" s="3">
        <f t="shared" si="143"/>
        <v>348</v>
      </c>
      <c r="G925" s="3">
        <v>7118</v>
      </c>
      <c r="H925" s="5" t="s">
        <v>168</v>
      </c>
    </row>
    <row r="926" spans="1:8" ht="21" x14ac:dyDescent="0.7">
      <c r="A926" s="2">
        <v>925</v>
      </c>
      <c r="B926" s="8" t="s">
        <v>10</v>
      </c>
      <c r="C926" s="10" t="s">
        <v>2535</v>
      </c>
      <c r="D926" s="3"/>
      <c r="E926" s="3">
        <v>1</v>
      </c>
      <c r="F926" s="3">
        <f t="shared" si="143"/>
        <v>347</v>
      </c>
      <c r="G926" s="3">
        <v>7119</v>
      </c>
      <c r="H926" s="5" t="s">
        <v>1677</v>
      </c>
    </row>
    <row r="927" spans="1:8" ht="21" x14ac:dyDescent="0.7">
      <c r="A927" s="2">
        <v>926</v>
      </c>
      <c r="B927" s="8" t="s">
        <v>10</v>
      </c>
      <c r="C927" s="10" t="s">
        <v>2542</v>
      </c>
      <c r="D927" s="3"/>
      <c r="E927" s="3">
        <v>5</v>
      </c>
      <c r="F927" s="3">
        <f t="shared" si="143"/>
        <v>342</v>
      </c>
      <c r="G927" s="3" t="s">
        <v>2543</v>
      </c>
      <c r="H927" s="5" t="s">
        <v>55</v>
      </c>
    </row>
    <row r="928" spans="1:8" ht="21" x14ac:dyDescent="0.7">
      <c r="A928" s="2">
        <v>927</v>
      </c>
      <c r="B928" s="8" t="s">
        <v>10</v>
      </c>
      <c r="C928" s="10" t="s">
        <v>2542</v>
      </c>
      <c r="D928" s="3"/>
      <c r="E928" s="3">
        <v>1</v>
      </c>
      <c r="F928" s="3">
        <f t="shared" si="143"/>
        <v>341</v>
      </c>
      <c r="G928" s="3" t="s">
        <v>2545</v>
      </c>
      <c r="H928" s="5" t="s">
        <v>2544</v>
      </c>
    </row>
    <row r="929" spans="1:8" ht="21" x14ac:dyDescent="0.7">
      <c r="A929" s="2">
        <v>928</v>
      </c>
      <c r="B929" s="8" t="s">
        <v>10</v>
      </c>
      <c r="C929" s="10" t="s">
        <v>2552</v>
      </c>
      <c r="D929" s="3"/>
      <c r="E929" s="3">
        <v>60</v>
      </c>
      <c r="F929" s="3">
        <f t="shared" si="143"/>
        <v>281</v>
      </c>
      <c r="G929" s="3">
        <v>7160</v>
      </c>
      <c r="H929" s="5" t="s">
        <v>43</v>
      </c>
    </row>
    <row r="930" spans="1:8" ht="21" x14ac:dyDescent="0.7">
      <c r="A930" s="2">
        <v>929</v>
      </c>
      <c r="B930" s="8" t="s">
        <v>10</v>
      </c>
      <c r="C930" s="10" t="s">
        <v>2552</v>
      </c>
      <c r="D930" s="3"/>
      <c r="E930" s="3">
        <v>12</v>
      </c>
      <c r="F930" s="3">
        <f>F929-E930</f>
        <v>269</v>
      </c>
      <c r="G930" s="3">
        <v>7161</v>
      </c>
      <c r="H930" s="5" t="s">
        <v>80</v>
      </c>
    </row>
    <row r="931" spans="1:8" ht="21" x14ac:dyDescent="0.7">
      <c r="A931" s="2">
        <v>930</v>
      </c>
      <c r="B931" s="8" t="s">
        <v>10</v>
      </c>
      <c r="C931" s="10" t="s">
        <v>2553</v>
      </c>
      <c r="D931" s="3"/>
      <c r="E931" s="3">
        <v>2</v>
      </c>
      <c r="F931" s="3">
        <f>F930-E931</f>
        <v>267</v>
      </c>
      <c r="G931" s="3">
        <v>1476</v>
      </c>
      <c r="H931" s="5" t="s">
        <v>55</v>
      </c>
    </row>
    <row r="932" spans="1:8" ht="20.399999999999999" customHeight="1" x14ac:dyDescent="0.3">
      <c r="A932" s="2">
        <v>931</v>
      </c>
      <c r="B932" s="8" t="s">
        <v>10</v>
      </c>
      <c r="C932" s="10" t="s">
        <v>2556</v>
      </c>
      <c r="D932" s="3">
        <v>600</v>
      </c>
      <c r="E932" s="3"/>
      <c r="F932" s="3">
        <f>F931+D932</f>
        <v>867</v>
      </c>
      <c r="G932" s="3"/>
      <c r="H932" s="38" t="s">
        <v>2555</v>
      </c>
    </row>
    <row r="933" spans="1:8" ht="21" x14ac:dyDescent="0.7">
      <c r="A933" s="2">
        <v>932</v>
      </c>
      <c r="B933" s="8" t="s">
        <v>10</v>
      </c>
      <c r="C933" s="10" t="s">
        <v>2560</v>
      </c>
      <c r="D933" s="3"/>
      <c r="E933" s="3">
        <v>3</v>
      </c>
      <c r="F933" s="3">
        <f t="shared" ref="F933:F938" si="144">F932-E933</f>
        <v>864</v>
      </c>
      <c r="G933" s="3">
        <v>7167</v>
      </c>
      <c r="H933" s="5" t="s">
        <v>1981</v>
      </c>
    </row>
    <row r="934" spans="1:8" ht="21" x14ac:dyDescent="0.7">
      <c r="A934" s="2">
        <v>933</v>
      </c>
      <c r="B934" s="8" t="s">
        <v>10</v>
      </c>
      <c r="C934" s="10" t="s">
        <v>2561</v>
      </c>
      <c r="D934" s="3"/>
      <c r="E934" s="3">
        <v>5</v>
      </c>
      <c r="F934" s="3">
        <f t="shared" si="144"/>
        <v>859</v>
      </c>
      <c r="G934" s="3">
        <v>7168</v>
      </c>
      <c r="H934" s="5" t="s">
        <v>149</v>
      </c>
    </row>
    <row r="935" spans="1:8" ht="21" x14ac:dyDescent="0.7">
      <c r="A935" s="2">
        <v>934</v>
      </c>
      <c r="B935" s="8" t="s">
        <v>10</v>
      </c>
      <c r="C935" s="10" t="s">
        <v>2553</v>
      </c>
      <c r="D935" s="3"/>
      <c r="E935" s="3">
        <v>11</v>
      </c>
      <c r="F935" s="3">
        <f t="shared" si="144"/>
        <v>848</v>
      </c>
      <c r="G935" s="3">
        <v>7169</v>
      </c>
      <c r="H935" s="5" t="s">
        <v>80</v>
      </c>
    </row>
    <row r="936" spans="1:8" ht="21" x14ac:dyDescent="0.7">
      <c r="A936" s="2">
        <v>935</v>
      </c>
      <c r="B936" s="8" t="s">
        <v>10</v>
      </c>
      <c r="C936" s="10" t="s">
        <v>2553</v>
      </c>
      <c r="D936" s="3"/>
      <c r="E936" s="3">
        <v>4</v>
      </c>
      <c r="F936" s="3">
        <f t="shared" si="144"/>
        <v>844</v>
      </c>
      <c r="G936" s="3">
        <v>7171</v>
      </c>
      <c r="H936" s="5" t="s">
        <v>1142</v>
      </c>
    </row>
    <row r="937" spans="1:8" ht="21" x14ac:dyDescent="0.7">
      <c r="A937" s="2">
        <v>936</v>
      </c>
      <c r="B937" s="8" t="s">
        <v>10</v>
      </c>
      <c r="C937" s="10" t="s">
        <v>2564</v>
      </c>
      <c r="D937" s="3"/>
      <c r="E937" s="3">
        <v>1</v>
      </c>
      <c r="F937" s="3">
        <f t="shared" si="144"/>
        <v>843</v>
      </c>
      <c r="G937" s="3">
        <v>7175</v>
      </c>
      <c r="H937" s="5" t="s">
        <v>2452</v>
      </c>
    </row>
    <row r="938" spans="1:8" ht="21" x14ac:dyDescent="0.7">
      <c r="A938" s="2">
        <v>937</v>
      </c>
      <c r="B938" s="8" t="s">
        <v>10</v>
      </c>
      <c r="C938" s="10" t="s">
        <v>2565</v>
      </c>
      <c r="D938" s="3"/>
      <c r="E938" s="3">
        <v>1</v>
      </c>
      <c r="F938" s="3">
        <f t="shared" si="144"/>
        <v>842</v>
      </c>
      <c r="G938" s="3" t="s">
        <v>2567</v>
      </c>
      <c r="H938" s="5" t="s">
        <v>2544</v>
      </c>
    </row>
    <row r="939" spans="1:8" ht="21" x14ac:dyDescent="0.7">
      <c r="A939" s="2">
        <v>938</v>
      </c>
      <c r="B939" s="8" t="s">
        <v>10</v>
      </c>
      <c r="C939" s="10" t="s">
        <v>2565</v>
      </c>
      <c r="D939" s="3"/>
      <c r="E939" s="3">
        <v>1</v>
      </c>
      <c r="F939" s="3">
        <f>F938-E939</f>
        <v>841</v>
      </c>
      <c r="G939" s="3">
        <v>7185</v>
      </c>
      <c r="H939" s="5" t="s">
        <v>1677</v>
      </c>
    </row>
    <row r="940" spans="1:8" ht="21" x14ac:dyDescent="0.7">
      <c r="A940" s="2">
        <v>939</v>
      </c>
      <c r="B940" s="8" t="s">
        <v>10</v>
      </c>
      <c r="C940" s="10" t="s">
        <v>2568</v>
      </c>
      <c r="D940" s="3"/>
      <c r="E940" s="3">
        <v>1</v>
      </c>
      <c r="F940" s="3">
        <f>F939-E940</f>
        <v>840</v>
      </c>
      <c r="G940" s="3" t="s">
        <v>2569</v>
      </c>
      <c r="H940" s="5" t="s">
        <v>2544</v>
      </c>
    </row>
    <row r="941" spans="1:8" ht="21" x14ac:dyDescent="0.7">
      <c r="A941" s="2">
        <v>940</v>
      </c>
      <c r="B941" s="8" t="s">
        <v>10</v>
      </c>
      <c r="C941" s="10" t="s">
        <v>2568</v>
      </c>
      <c r="D941" s="3"/>
      <c r="E941" s="3">
        <v>3</v>
      </c>
      <c r="F941" s="3">
        <f>F940-E941</f>
        <v>837</v>
      </c>
      <c r="G941" s="3">
        <v>7192</v>
      </c>
      <c r="H941" s="5" t="s">
        <v>1715</v>
      </c>
    </row>
    <row r="942" spans="1:8" ht="21" x14ac:dyDescent="0.7">
      <c r="A942" s="2">
        <v>941</v>
      </c>
      <c r="B942" s="8" t="s">
        <v>10</v>
      </c>
      <c r="C942" s="10" t="s">
        <v>2571</v>
      </c>
      <c r="D942" s="3"/>
      <c r="E942" s="3">
        <v>5</v>
      </c>
      <c r="F942" s="3">
        <f>F941-E942</f>
        <v>832</v>
      </c>
      <c r="G942" s="3">
        <v>7200</v>
      </c>
      <c r="H942" s="5" t="s">
        <v>1068</v>
      </c>
    </row>
    <row r="943" spans="1:8" ht="24.6" customHeight="1" x14ac:dyDescent="0.3">
      <c r="A943" s="2">
        <v>942</v>
      </c>
      <c r="B943" s="8" t="s">
        <v>10</v>
      </c>
      <c r="C943" s="10" t="s">
        <v>2584</v>
      </c>
      <c r="D943" s="3">
        <v>240</v>
      </c>
      <c r="E943" s="3"/>
      <c r="F943" s="3">
        <f>F942+D943</f>
        <v>1072</v>
      </c>
      <c r="G943" s="3"/>
      <c r="H943" s="38" t="s">
        <v>2585</v>
      </c>
    </row>
    <row r="944" spans="1:8" ht="21" x14ac:dyDescent="0.7">
      <c r="A944" s="2">
        <v>943</v>
      </c>
      <c r="B944" s="8" t="s">
        <v>10</v>
      </c>
      <c r="C944" s="10" t="s">
        <v>2589</v>
      </c>
      <c r="D944" s="3"/>
      <c r="E944" s="3">
        <v>4</v>
      </c>
      <c r="F944" s="3">
        <f t="shared" ref="F944:F949" si="145">F943-E944</f>
        <v>1068</v>
      </c>
      <c r="G944" s="3">
        <v>7213</v>
      </c>
      <c r="H944" s="5" t="s">
        <v>2590</v>
      </c>
    </row>
    <row r="945" spans="1:8" ht="21" x14ac:dyDescent="0.7">
      <c r="A945" s="2">
        <v>944</v>
      </c>
      <c r="B945" s="8" t="s">
        <v>10</v>
      </c>
      <c r="C945" s="10" t="s">
        <v>2589</v>
      </c>
      <c r="D945" s="3"/>
      <c r="E945" s="3">
        <v>5</v>
      </c>
      <c r="F945" s="3">
        <f t="shared" si="145"/>
        <v>1063</v>
      </c>
      <c r="G945" s="3">
        <v>7216</v>
      </c>
      <c r="H945" s="5" t="s">
        <v>46</v>
      </c>
    </row>
    <row r="946" spans="1:8" ht="21" x14ac:dyDescent="0.7">
      <c r="A946" s="2">
        <v>945</v>
      </c>
      <c r="B946" s="8" t="s">
        <v>10</v>
      </c>
      <c r="C946" s="10" t="s">
        <v>2594</v>
      </c>
      <c r="D946" s="3"/>
      <c r="E946" s="3">
        <v>2</v>
      </c>
      <c r="F946" s="3">
        <f t="shared" si="145"/>
        <v>1061</v>
      </c>
      <c r="G946" s="3">
        <v>7221</v>
      </c>
      <c r="H946" s="5" t="s">
        <v>2517</v>
      </c>
    </row>
    <row r="947" spans="1:8" ht="21" x14ac:dyDescent="0.7">
      <c r="A947" s="2">
        <v>946</v>
      </c>
      <c r="B947" s="8" t="s">
        <v>10</v>
      </c>
      <c r="C947" s="10" t="s">
        <v>2596</v>
      </c>
      <c r="D947" s="3"/>
      <c r="E947" s="3">
        <v>75</v>
      </c>
      <c r="F947" s="3">
        <f t="shared" si="145"/>
        <v>986</v>
      </c>
      <c r="G947" s="3">
        <v>7224</v>
      </c>
      <c r="H947" s="5" t="s">
        <v>80</v>
      </c>
    </row>
    <row r="948" spans="1:8" ht="21" x14ac:dyDescent="0.7">
      <c r="A948" s="2">
        <v>947</v>
      </c>
      <c r="B948" s="8" t="s">
        <v>10</v>
      </c>
      <c r="C948" s="10" t="s">
        <v>2597</v>
      </c>
      <c r="D948" s="3"/>
      <c r="E948" s="3">
        <v>30</v>
      </c>
      <c r="F948" s="3">
        <f t="shared" si="145"/>
        <v>956</v>
      </c>
      <c r="G948" s="3">
        <v>7225</v>
      </c>
      <c r="H948" s="5" t="s">
        <v>43</v>
      </c>
    </row>
    <row r="949" spans="1:8" ht="21" x14ac:dyDescent="0.7">
      <c r="A949" s="2">
        <v>948</v>
      </c>
      <c r="B949" s="8" t="s">
        <v>10</v>
      </c>
      <c r="C949" s="10" t="s">
        <v>2602</v>
      </c>
      <c r="D949" s="3"/>
      <c r="E949" s="3">
        <v>15</v>
      </c>
      <c r="F949" s="3">
        <f t="shared" si="145"/>
        <v>941</v>
      </c>
      <c r="G949" s="3">
        <v>7229</v>
      </c>
      <c r="H949" s="5" t="s">
        <v>2482</v>
      </c>
    </row>
    <row r="950" spans="1:8" ht="21" x14ac:dyDescent="0.7">
      <c r="A950" s="2">
        <v>949</v>
      </c>
      <c r="B950" s="8" t="s">
        <v>10</v>
      </c>
      <c r="C950" s="10" t="s">
        <v>2603</v>
      </c>
      <c r="D950" s="3"/>
      <c r="E950" s="3">
        <v>50</v>
      </c>
      <c r="F950" s="3">
        <f t="shared" ref="F950:F955" si="146">F949-E950</f>
        <v>891</v>
      </c>
      <c r="G950" s="3">
        <v>7236</v>
      </c>
      <c r="H950" s="5" t="s">
        <v>80</v>
      </c>
    </row>
    <row r="951" spans="1:8" ht="21" x14ac:dyDescent="0.7">
      <c r="A951" s="2">
        <v>950</v>
      </c>
      <c r="B951" s="8" t="s">
        <v>10</v>
      </c>
      <c r="C951" s="10" t="s">
        <v>2604</v>
      </c>
      <c r="D951" s="3"/>
      <c r="E951" s="3">
        <v>40</v>
      </c>
      <c r="F951" s="3">
        <f t="shared" si="146"/>
        <v>851</v>
      </c>
      <c r="G951" s="3">
        <v>7238</v>
      </c>
      <c r="H951" s="5" t="s">
        <v>1142</v>
      </c>
    </row>
    <row r="952" spans="1:8" ht="21" x14ac:dyDescent="0.7">
      <c r="A952" s="2">
        <v>951</v>
      </c>
      <c r="B952" s="8" t="s">
        <v>10</v>
      </c>
      <c r="C952" s="10" t="s">
        <v>2606</v>
      </c>
      <c r="D952" s="3"/>
      <c r="E952" s="3">
        <v>4</v>
      </c>
      <c r="F952" s="3">
        <f t="shared" si="146"/>
        <v>847</v>
      </c>
      <c r="G952" s="3">
        <v>7242</v>
      </c>
      <c r="H952" s="5" t="s">
        <v>2424</v>
      </c>
    </row>
    <row r="953" spans="1:8" ht="21" x14ac:dyDescent="0.7">
      <c r="A953" s="2">
        <v>952</v>
      </c>
      <c r="B953" s="8" t="s">
        <v>10</v>
      </c>
      <c r="C953" s="10" t="s">
        <v>2607</v>
      </c>
      <c r="D953" s="3"/>
      <c r="E953" s="3">
        <v>1</v>
      </c>
      <c r="F953" s="3">
        <f t="shared" si="146"/>
        <v>846</v>
      </c>
      <c r="G953" s="3" t="s">
        <v>2608</v>
      </c>
      <c r="H953" s="5" t="s">
        <v>55</v>
      </c>
    </row>
    <row r="954" spans="1:8" ht="21" x14ac:dyDescent="0.7">
      <c r="A954" s="2">
        <v>953</v>
      </c>
      <c r="B954" s="8" t="s">
        <v>10</v>
      </c>
      <c r="C954" s="10" t="s">
        <v>2613</v>
      </c>
      <c r="D954" s="3"/>
      <c r="E954" s="3">
        <v>3</v>
      </c>
      <c r="F954" s="3">
        <f t="shared" si="146"/>
        <v>843</v>
      </c>
      <c r="G954" s="3">
        <v>7251</v>
      </c>
      <c r="H954" s="5" t="s">
        <v>1715</v>
      </c>
    </row>
    <row r="955" spans="1:8" ht="21" x14ac:dyDescent="0.7">
      <c r="A955" s="2">
        <v>954</v>
      </c>
      <c r="B955" s="8" t="s">
        <v>10</v>
      </c>
      <c r="C955" s="10" t="s">
        <v>2614</v>
      </c>
      <c r="D955" s="3"/>
      <c r="E955" s="3">
        <v>3</v>
      </c>
      <c r="F955" s="3">
        <f t="shared" si="146"/>
        <v>840</v>
      </c>
      <c r="G955" s="3" t="s">
        <v>2615</v>
      </c>
      <c r="H955" s="5" t="s">
        <v>55</v>
      </c>
    </row>
    <row r="956" spans="1:8" ht="21" x14ac:dyDescent="0.7">
      <c r="A956" s="2">
        <v>955</v>
      </c>
      <c r="B956" s="8" t="s">
        <v>10</v>
      </c>
      <c r="C956" s="10" t="s">
        <v>2619</v>
      </c>
      <c r="D956" s="3"/>
      <c r="E956" s="3">
        <v>10</v>
      </c>
      <c r="F956" s="3">
        <f t="shared" ref="F956:F962" si="147">F955-E956</f>
        <v>830</v>
      </c>
      <c r="G956" s="3">
        <v>7267</v>
      </c>
      <c r="H956" s="5" t="s">
        <v>2424</v>
      </c>
    </row>
    <row r="957" spans="1:8" ht="21" x14ac:dyDescent="0.7">
      <c r="A957" s="2">
        <v>956</v>
      </c>
      <c r="B957" s="8" t="s">
        <v>10</v>
      </c>
      <c r="C957" s="10" t="s">
        <v>2619</v>
      </c>
      <c r="D957" s="3"/>
      <c r="E957" s="3">
        <v>1</v>
      </c>
      <c r="F957" s="3">
        <f t="shared" si="147"/>
        <v>829</v>
      </c>
      <c r="G957" s="3">
        <v>7266</v>
      </c>
      <c r="H957" s="5" t="s">
        <v>2107</v>
      </c>
    </row>
    <row r="958" spans="1:8" ht="21" x14ac:dyDescent="0.7">
      <c r="A958" s="2">
        <v>957</v>
      </c>
      <c r="B958" s="8" t="s">
        <v>10</v>
      </c>
      <c r="C958" s="10" t="s">
        <v>2622</v>
      </c>
      <c r="D958" s="3"/>
      <c r="E958" s="3">
        <v>1</v>
      </c>
      <c r="F958" s="3">
        <f t="shared" si="147"/>
        <v>828</v>
      </c>
      <c r="G958" s="3">
        <v>7271</v>
      </c>
      <c r="H958" s="5" t="s">
        <v>1677</v>
      </c>
    </row>
    <row r="959" spans="1:8" ht="21" x14ac:dyDescent="0.7">
      <c r="A959" s="2"/>
      <c r="B959" s="8" t="s">
        <v>10</v>
      </c>
      <c r="C959" s="10" t="s">
        <v>2622</v>
      </c>
      <c r="D959" s="3"/>
      <c r="E959" s="3">
        <v>3</v>
      </c>
      <c r="F959" s="3">
        <f>F958-E959</f>
        <v>825</v>
      </c>
      <c r="G959" s="3">
        <v>7272</v>
      </c>
      <c r="H959" s="5" t="s">
        <v>1715</v>
      </c>
    </row>
    <row r="960" spans="1:8" ht="21" x14ac:dyDescent="0.7">
      <c r="A960" s="2">
        <v>958</v>
      </c>
      <c r="B960" s="8" t="s">
        <v>10</v>
      </c>
      <c r="C960" s="10" t="s">
        <v>2623</v>
      </c>
      <c r="D960" s="3"/>
      <c r="E960" s="3">
        <v>4</v>
      </c>
      <c r="F960" s="3">
        <f>F959-E960</f>
        <v>821</v>
      </c>
      <c r="G960" s="3" t="s">
        <v>2624</v>
      </c>
      <c r="H960" s="5" t="s">
        <v>55</v>
      </c>
    </row>
    <row r="961" spans="1:8" ht="21" x14ac:dyDescent="0.7">
      <c r="A961" s="2">
        <v>959</v>
      </c>
      <c r="B961" s="8" t="s">
        <v>10</v>
      </c>
      <c r="C961" s="10" t="s">
        <v>2625</v>
      </c>
      <c r="D961" s="3"/>
      <c r="E961" s="3">
        <v>10</v>
      </c>
      <c r="F961" s="3">
        <f t="shared" si="147"/>
        <v>811</v>
      </c>
      <c r="G961" s="3">
        <v>7273</v>
      </c>
      <c r="H961" s="5" t="s">
        <v>2424</v>
      </c>
    </row>
    <row r="962" spans="1:8" ht="21" x14ac:dyDescent="0.7">
      <c r="A962" s="2">
        <v>960</v>
      </c>
      <c r="B962" s="8" t="s">
        <v>10</v>
      </c>
      <c r="C962" s="10" t="s">
        <v>2630</v>
      </c>
      <c r="D962" s="3"/>
      <c r="E962" s="3">
        <v>100</v>
      </c>
      <c r="F962" s="3">
        <f t="shared" si="147"/>
        <v>711</v>
      </c>
      <c r="G962" s="3">
        <v>7278</v>
      </c>
      <c r="H962" s="5" t="s">
        <v>2632</v>
      </c>
    </row>
    <row r="963" spans="1:8" ht="21" x14ac:dyDescent="0.7">
      <c r="A963" s="2">
        <v>961</v>
      </c>
      <c r="B963" s="8" t="s">
        <v>10</v>
      </c>
      <c r="C963" s="10" t="s">
        <v>2634</v>
      </c>
      <c r="D963" s="3"/>
      <c r="E963" s="3">
        <v>1</v>
      </c>
      <c r="F963" s="3">
        <f t="shared" ref="F963:F968" si="148">F962-E963</f>
        <v>710</v>
      </c>
      <c r="G963" s="3" t="s">
        <v>2636</v>
      </c>
      <c r="H963" s="5" t="s">
        <v>2635</v>
      </c>
    </row>
    <row r="964" spans="1:8" ht="21" x14ac:dyDescent="0.7">
      <c r="A964" s="2">
        <v>962</v>
      </c>
      <c r="B964" s="8" t="s">
        <v>10</v>
      </c>
      <c r="C964" s="10" t="s">
        <v>2639</v>
      </c>
      <c r="D964" s="3"/>
      <c r="E964" s="3">
        <v>1</v>
      </c>
      <c r="F964" s="3">
        <f t="shared" si="148"/>
        <v>709</v>
      </c>
      <c r="G964" s="3" t="s">
        <v>2640</v>
      </c>
      <c r="H964" s="5" t="s">
        <v>2635</v>
      </c>
    </row>
    <row r="965" spans="1:8" ht="21" x14ac:dyDescent="0.7">
      <c r="A965" s="2">
        <v>963</v>
      </c>
      <c r="B965" s="8" t="s">
        <v>10</v>
      </c>
      <c r="C965" s="10" t="s">
        <v>2639</v>
      </c>
      <c r="D965" s="3"/>
      <c r="E965" s="3">
        <v>2</v>
      </c>
      <c r="F965" s="3">
        <f t="shared" si="148"/>
        <v>707</v>
      </c>
      <c r="G965" s="3" t="s">
        <v>2641</v>
      </c>
      <c r="H965" s="5" t="s">
        <v>55</v>
      </c>
    </row>
    <row r="966" spans="1:8" ht="21" x14ac:dyDescent="0.7">
      <c r="A966" s="2">
        <v>964</v>
      </c>
      <c r="B966" s="8" t="s">
        <v>10</v>
      </c>
      <c r="C966" s="10" t="s">
        <v>2642</v>
      </c>
      <c r="D966" s="3"/>
      <c r="E966" s="3">
        <v>85</v>
      </c>
      <c r="F966" s="3">
        <f t="shared" si="148"/>
        <v>622</v>
      </c>
      <c r="G966" s="3">
        <v>277</v>
      </c>
      <c r="H966" s="5" t="s">
        <v>434</v>
      </c>
    </row>
    <row r="967" spans="1:8" ht="21" x14ac:dyDescent="0.7">
      <c r="A967" s="2">
        <v>965</v>
      </c>
      <c r="B967" s="8" t="s">
        <v>10</v>
      </c>
      <c r="C967" s="10" t="s">
        <v>2642</v>
      </c>
      <c r="D967" s="3"/>
      <c r="E967" s="3">
        <v>30</v>
      </c>
      <c r="F967" s="3">
        <f t="shared" si="148"/>
        <v>592</v>
      </c>
      <c r="G967" s="3">
        <v>7298</v>
      </c>
      <c r="H967" s="5" t="s">
        <v>43</v>
      </c>
    </row>
    <row r="968" spans="1:8" ht="21" x14ac:dyDescent="0.7">
      <c r="A968" s="2">
        <v>966</v>
      </c>
      <c r="B968" s="8" t="s">
        <v>10</v>
      </c>
      <c r="C968" s="10" t="s">
        <v>2643</v>
      </c>
      <c r="D968" s="3"/>
      <c r="E968" s="3">
        <v>200</v>
      </c>
      <c r="F968" s="3">
        <f t="shared" si="148"/>
        <v>392</v>
      </c>
      <c r="G968" s="3">
        <v>7299</v>
      </c>
      <c r="H968" s="5" t="s">
        <v>2322</v>
      </c>
    </row>
    <row r="969" spans="1:8" ht="21" x14ac:dyDescent="0.7">
      <c r="A969" s="2">
        <v>967</v>
      </c>
      <c r="B969" s="8" t="s">
        <v>10</v>
      </c>
      <c r="C969" s="10" t="s">
        <v>2646</v>
      </c>
      <c r="D969" s="3"/>
      <c r="E969" s="3">
        <v>1</v>
      </c>
      <c r="F969" s="3">
        <f t="shared" ref="F969:F974" si="149">F968-E969</f>
        <v>391</v>
      </c>
      <c r="G969" s="3">
        <v>7306</v>
      </c>
      <c r="H969" s="5" t="s">
        <v>2647</v>
      </c>
    </row>
    <row r="970" spans="1:8" ht="21" x14ac:dyDescent="0.7">
      <c r="A970" s="2">
        <v>968</v>
      </c>
      <c r="B970" s="8" t="s">
        <v>10</v>
      </c>
      <c r="C970" s="10" t="s">
        <v>2650</v>
      </c>
      <c r="D970" s="3"/>
      <c r="E970" s="3">
        <v>1</v>
      </c>
      <c r="F970" s="3">
        <f t="shared" si="149"/>
        <v>390</v>
      </c>
      <c r="G970" s="3">
        <v>7311</v>
      </c>
      <c r="H970" s="5" t="s">
        <v>2512</v>
      </c>
    </row>
    <row r="971" spans="1:8" ht="21" x14ac:dyDescent="0.7">
      <c r="A971" s="2">
        <v>969</v>
      </c>
      <c r="B971" s="8" t="s">
        <v>10</v>
      </c>
      <c r="C971" s="10" t="s">
        <v>2651</v>
      </c>
      <c r="D971" s="3"/>
      <c r="E971" s="3">
        <v>1</v>
      </c>
      <c r="F971" s="3">
        <f t="shared" si="149"/>
        <v>389</v>
      </c>
      <c r="G971" s="3">
        <v>7517</v>
      </c>
      <c r="H971" s="5" t="s">
        <v>2652</v>
      </c>
    </row>
    <row r="972" spans="1:8" ht="21" x14ac:dyDescent="0.7">
      <c r="A972" s="2">
        <v>970</v>
      </c>
      <c r="B972" s="8" t="s">
        <v>10</v>
      </c>
      <c r="C972" s="10" t="s">
        <v>2655</v>
      </c>
      <c r="D972" s="3"/>
      <c r="E972" s="3">
        <v>30</v>
      </c>
      <c r="F972" s="3">
        <f t="shared" si="149"/>
        <v>359</v>
      </c>
      <c r="G972" s="3">
        <v>7325</v>
      </c>
      <c r="H972" s="5" t="s">
        <v>850</v>
      </c>
    </row>
    <row r="973" spans="1:8" ht="21" x14ac:dyDescent="0.7">
      <c r="A973" s="2">
        <v>971</v>
      </c>
      <c r="B973" s="8" t="s">
        <v>10</v>
      </c>
      <c r="C973" s="10" t="s">
        <v>2657</v>
      </c>
      <c r="D973" s="3"/>
      <c r="E973" s="3">
        <v>50</v>
      </c>
      <c r="F973" s="3">
        <f t="shared" si="149"/>
        <v>309</v>
      </c>
      <c r="G973" s="3">
        <v>7330</v>
      </c>
      <c r="H973" s="5" t="s">
        <v>2658</v>
      </c>
    </row>
    <row r="974" spans="1:8" ht="21" x14ac:dyDescent="0.7">
      <c r="A974" s="2">
        <v>972</v>
      </c>
      <c r="B974" s="8" t="s">
        <v>10</v>
      </c>
      <c r="C974" s="10" t="s">
        <v>2660</v>
      </c>
      <c r="D974" s="3"/>
      <c r="E974" s="3">
        <v>2</v>
      </c>
      <c r="F974" s="3">
        <f t="shared" si="149"/>
        <v>307</v>
      </c>
      <c r="G974" s="3">
        <v>7332</v>
      </c>
      <c r="H974" s="5" t="s">
        <v>2661</v>
      </c>
    </row>
    <row r="975" spans="1:8" ht="21" x14ac:dyDescent="0.7">
      <c r="A975" s="2">
        <v>973</v>
      </c>
      <c r="B975" s="8" t="s">
        <v>10</v>
      </c>
      <c r="C975" s="10" t="s">
        <v>2668</v>
      </c>
      <c r="D975" s="3"/>
      <c r="E975" s="3">
        <v>1</v>
      </c>
      <c r="F975" s="3">
        <f>F974-E975</f>
        <v>306</v>
      </c>
      <c r="G975" s="3">
        <v>7338</v>
      </c>
      <c r="H975" s="5" t="s">
        <v>2669</v>
      </c>
    </row>
    <row r="976" spans="1:8" ht="21" x14ac:dyDescent="0.7">
      <c r="A976" s="2">
        <v>974</v>
      </c>
      <c r="B976" s="8" t="s">
        <v>10</v>
      </c>
      <c r="C976" s="10" t="s">
        <v>2668</v>
      </c>
      <c r="D976" s="3"/>
      <c r="E976" s="3">
        <v>1</v>
      </c>
      <c r="F976" s="3">
        <f>F975-E976</f>
        <v>305</v>
      </c>
      <c r="G976" s="3">
        <v>7339</v>
      </c>
      <c r="H976" s="5" t="s">
        <v>1270</v>
      </c>
    </row>
    <row r="977" spans="1:8" ht="21" x14ac:dyDescent="0.7">
      <c r="A977" s="2">
        <v>975</v>
      </c>
      <c r="B977" s="8" t="s">
        <v>10</v>
      </c>
      <c r="C977" s="10" t="s">
        <v>2671</v>
      </c>
      <c r="D977" s="3"/>
      <c r="E977" s="3">
        <v>40</v>
      </c>
      <c r="F977" s="3">
        <f>F976-E977</f>
        <v>265</v>
      </c>
      <c r="G977" s="3">
        <v>7342</v>
      </c>
      <c r="H977" s="5" t="s">
        <v>639</v>
      </c>
    </row>
    <row r="978" spans="1:8" ht="22.2" customHeight="1" x14ac:dyDescent="0.3">
      <c r="A978" s="2">
        <v>976</v>
      </c>
      <c r="B978" s="8" t="s">
        <v>10</v>
      </c>
      <c r="C978" s="10" t="s">
        <v>2675</v>
      </c>
      <c r="D978" s="3">
        <v>170</v>
      </c>
      <c r="E978" s="3"/>
      <c r="F978" s="3">
        <f>F977+D978</f>
        <v>435</v>
      </c>
      <c r="G978" s="3"/>
      <c r="H978" s="38" t="s">
        <v>2674</v>
      </c>
    </row>
    <row r="979" spans="1:8" ht="21" x14ac:dyDescent="0.7">
      <c r="A979" s="2">
        <v>977</v>
      </c>
      <c r="B979" s="8" t="s">
        <v>10</v>
      </c>
      <c r="C979" s="10" t="s">
        <v>2679</v>
      </c>
      <c r="D979" s="3"/>
      <c r="E979" s="3">
        <v>7</v>
      </c>
      <c r="F979" s="3">
        <f>F978-E979</f>
        <v>428</v>
      </c>
      <c r="G979" s="3">
        <v>7347</v>
      </c>
      <c r="H979" s="5" t="s">
        <v>46</v>
      </c>
    </row>
    <row r="980" spans="1:8" ht="21" x14ac:dyDescent="0.7">
      <c r="A980" s="2">
        <v>978</v>
      </c>
      <c r="B980" s="8" t="s">
        <v>10</v>
      </c>
      <c r="C980" s="10" t="s">
        <v>2682</v>
      </c>
      <c r="D980" s="3"/>
      <c r="E980" s="3">
        <v>4</v>
      </c>
      <c r="F980" s="3">
        <f>F979-E980</f>
        <v>424</v>
      </c>
      <c r="G980" s="3">
        <v>7352</v>
      </c>
      <c r="H980" s="5" t="s">
        <v>1715</v>
      </c>
    </row>
    <row r="981" spans="1:8" ht="21" x14ac:dyDescent="0.7">
      <c r="A981" s="2">
        <v>979</v>
      </c>
      <c r="B981" s="8" t="s">
        <v>10</v>
      </c>
      <c r="C981" s="10" t="s">
        <v>2683</v>
      </c>
      <c r="D981" s="3"/>
      <c r="E981" s="3">
        <v>5</v>
      </c>
      <c r="F981" s="3">
        <f>F980-E981</f>
        <v>419</v>
      </c>
      <c r="G981" s="3">
        <v>7355</v>
      </c>
      <c r="H981" s="5" t="s">
        <v>168</v>
      </c>
    </row>
    <row r="982" spans="1:8" ht="21" x14ac:dyDescent="0.7">
      <c r="A982" s="2">
        <v>980</v>
      </c>
      <c r="B982" s="8" t="s">
        <v>10</v>
      </c>
      <c r="C982" s="10"/>
      <c r="D982" s="3"/>
      <c r="E982" s="3">
        <v>1</v>
      </c>
      <c r="F982" s="3">
        <f>F981-E982</f>
        <v>418</v>
      </c>
      <c r="G982" s="3"/>
      <c r="H982" s="5" t="s">
        <v>2684</v>
      </c>
    </row>
    <row r="983" spans="1:8" ht="21" x14ac:dyDescent="0.7">
      <c r="A983" s="2">
        <v>981</v>
      </c>
      <c r="B983" s="8" t="s">
        <v>10</v>
      </c>
      <c r="C983" s="10"/>
      <c r="D983" s="3"/>
      <c r="E983" s="3"/>
      <c r="F983" s="3"/>
      <c r="G983" s="3"/>
      <c r="H983" s="5"/>
    </row>
    <row r="984" spans="1:8" ht="21" x14ac:dyDescent="0.7">
      <c r="A984" s="2">
        <v>982</v>
      </c>
      <c r="B984" s="8" t="s">
        <v>10</v>
      </c>
      <c r="C984" s="10"/>
      <c r="D984" s="3"/>
      <c r="E984" s="3"/>
      <c r="F984" s="3"/>
      <c r="G984" s="3"/>
      <c r="H984" s="5"/>
    </row>
    <row r="985" spans="1:8" ht="21" x14ac:dyDescent="0.7">
      <c r="A985" s="2">
        <v>983</v>
      </c>
      <c r="B985" s="8" t="s">
        <v>10</v>
      </c>
      <c r="C985" s="10"/>
      <c r="D985" s="3"/>
      <c r="E985" s="3"/>
      <c r="F985" s="3"/>
      <c r="G985" s="3"/>
      <c r="H985" s="5"/>
    </row>
  </sheetData>
  <autoFilter ref="A1:H912" xr:uid="{00000000-0009-0000-0000-000000000000}"/>
  <mergeCells count="3">
    <mergeCell ref="G829:H829"/>
    <mergeCell ref="G838:H838"/>
    <mergeCell ref="G868:H868"/>
  </mergeCells>
  <phoneticPr fontId="7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99"/>
  <sheetViews>
    <sheetView rightToLeft="1" zoomScale="110" zoomScaleNormal="110" workbookViewId="0">
      <pane ySplit="1" topLeftCell="A91" activePane="bottomLeft" state="frozen"/>
      <selection pane="bottomLeft" activeCell="F98" sqref="F98"/>
    </sheetView>
  </sheetViews>
  <sheetFormatPr defaultRowHeight="14.4" x14ac:dyDescent="0.3"/>
  <cols>
    <col min="1" max="1" width="5.5546875" bestFit="1" customWidth="1"/>
    <col min="2" max="2" width="10.44140625" bestFit="1" customWidth="1"/>
    <col min="3" max="3" width="10.88671875" bestFit="1" customWidth="1"/>
    <col min="6" max="6" width="13.33203125" customWidth="1"/>
    <col min="7" max="7" width="11.88671875" bestFit="1" customWidth="1"/>
    <col min="8" max="8" width="23.5546875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11</v>
      </c>
      <c r="C2" s="10" t="s">
        <v>42</v>
      </c>
      <c r="D2" s="3"/>
      <c r="E2" s="3">
        <v>30</v>
      </c>
      <c r="F2" s="3">
        <v>126</v>
      </c>
      <c r="G2" s="3">
        <v>3629</v>
      </c>
      <c r="H2" s="5" t="s">
        <v>43</v>
      </c>
    </row>
    <row r="3" spans="1:8" ht="21" x14ac:dyDescent="0.7">
      <c r="A3" s="2">
        <v>2</v>
      </c>
      <c r="B3" s="8" t="s">
        <v>11</v>
      </c>
      <c r="C3" s="10" t="s">
        <v>95</v>
      </c>
      <c r="D3" s="3">
        <v>7</v>
      </c>
      <c r="E3" s="3"/>
      <c r="F3" s="3">
        <f>F2+7</f>
        <v>133</v>
      </c>
      <c r="G3" s="3">
        <v>3579</v>
      </c>
      <c r="H3" s="5" t="s">
        <v>96</v>
      </c>
    </row>
    <row r="4" spans="1:8" ht="21" x14ac:dyDescent="0.7">
      <c r="A4" s="2">
        <v>3</v>
      </c>
      <c r="B4" s="8" t="s">
        <v>11</v>
      </c>
      <c r="C4" s="10" t="s">
        <v>112</v>
      </c>
      <c r="D4" s="3"/>
      <c r="E4" s="3">
        <v>5</v>
      </c>
      <c r="F4" s="3">
        <f t="shared" ref="F4:F8" si="0">F3-E4</f>
        <v>128</v>
      </c>
      <c r="G4" s="3" t="s">
        <v>113</v>
      </c>
      <c r="H4" s="5" t="s">
        <v>49</v>
      </c>
    </row>
    <row r="5" spans="1:8" ht="21" x14ac:dyDescent="0.7">
      <c r="A5" s="2">
        <v>4</v>
      </c>
      <c r="B5" s="8" t="s">
        <v>11</v>
      </c>
      <c r="C5" s="10" t="s">
        <v>125</v>
      </c>
      <c r="D5" s="3"/>
      <c r="E5" s="3">
        <v>1</v>
      </c>
      <c r="F5" s="3">
        <f t="shared" si="0"/>
        <v>127</v>
      </c>
      <c r="G5" s="3">
        <v>3678</v>
      </c>
      <c r="H5" s="5" t="s">
        <v>126</v>
      </c>
    </row>
    <row r="6" spans="1:8" ht="21" x14ac:dyDescent="0.7">
      <c r="A6" s="2">
        <v>5</v>
      </c>
      <c r="B6" s="8" t="s">
        <v>11</v>
      </c>
      <c r="C6" s="10" t="s">
        <v>131</v>
      </c>
      <c r="D6" s="3"/>
      <c r="E6" s="3">
        <v>5</v>
      </c>
      <c r="F6" s="3">
        <f t="shared" si="0"/>
        <v>122</v>
      </c>
      <c r="G6" s="3">
        <v>3682</v>
      </c>
      <c r="H6" s="5" t="s">
        <v>132</v>
      </c>
    </row>
    <row r="7" spans="1:8" ht="21" x14ac:dyDescent="0.7">
      <c r="A7" s="2">
        <v>6</v>
      </c>
      <c r="B7" s="8" t="s">
        <v>11</v>
      </c>
      <c r="C7" s="10" t="s">
        <v>135</v>
      </c>
      <c r="D7" s="3"/>
      <c r="E7" s="3">
        <v>1</v>
      </c>
      <c r="F7" s="3">
        <f t="shared" si="0"/>
        <v>121</v>
      </c>
      <c r="G7" s="3" t="s">
        <v>136</v>
      </c>
      <c r="H7" s="5" t="s">
        <v>49</v>
      </c>
    </row>
    <row r="8" spans="1:8" ht="21" x14ac:dyDescent="0.7">
      <c r="A8" s="2">
        <v>7</v>
      </c>
      <c r="B8" s="8" t="s">
        <v>11</v>
      </c>
      <c r="C8" s="10" t="s">
        <v>138</v>
      </c>
      <c r="D8" s="3"/>
      <c r="E8" s="3">
        <v>24</v>
      </c>
      <c r="F8" s="3">
        <f t="shared" si="0"/>
        <v>97</v>
      </c>
      <c r="G8" s="3">
        <v>3686</v>
      </c>
      <c r="H8" s="5" t="s">
        <v>139</v>
      </c>
    </row>
    <row r="9" spans="1:8" ht="20.25" customHeight="1" x14ac:dyDescent="0.3">
      <c r="A9" s="2">
        <v>8</v>
      </c>
      <c r="B9" s="8"/>
      <c r="C9" s="10"/>
      <c r="D9" s="3"/>
      <c r="E9" s="3">
        <v>18</v>
      </c>
      <c r="F9" s="3">
        <f t="shared" ref="F9:F14" si="1">F8-E9</f>
        <v>79</v>
      </c>
      <c r="G9" s="46" t="s">
        <v>193</v>
      </c>
      <c r="H9" s="47"/>
    </row>
    <row r="10" spans="1:8" ht="21" x14ac:dyDescent="0.7">
      <c r="A10" s="2">
        <v>9</v>
      </c>
      <c r="B10" s="8" t="s">
        <v>11</v>
      </c>
      <c r="C10" s="10" t="s">
        <v>145</v>
      </c>
      <c r="D10" s="3"/>
      <c r="E10" s="3">
        <v>24</v>
      </c>
      <c r="F10" s="3">
        <f t="shared" si="1"/>
        <v>55</v>
      </c>
      <c r="G10" s="3">
        <v>3719</v>
      </c>
      <c r="H10" s="5" t="s">
        <v>139</v>
      </c>
    </row>
    <row r="11" spans="1:8" ht="21" x14ac:dyDescent="0.7">
      <c r="A11" s="2">
        <v>10</v>
      </c>
      <c r="B11" s="8" t="s">
        <v>11</v>
      </c>
      <c r="C11" s="10" t="s">
        <v>147</v>
      </c>
      <c r="D11" s="3"/>
      <c r="E11" s="3">
        <v>4</v>
      </c>
      <c r="F11" s="3">
        <f t="shared" si="1"/>
        <v>51</v>
      </c>
      <c r="G11" s="3">
        <v>3746</v>
      </c>
      <c r="H11" s="5" t="s">
        <v>150</v>
      </c>
    </row>
    <row r="12" spans="1:8" ht="21" x14ac:dyDescent="0.7">
      <c r="A12" s="2">
        <v>11</v>
      </c>
      <c r="B12" s="8" t="s">
        <v>11</v>
      </c>
      <c r="C12" s="10" t="s">
        <v>176</v>
      </c>
      <c r="D12" s="3"/>
      <c r="E12" s="3">
        <v>1</v>
      </c>
      <c r="F12" s="3">
        <f t="shared" si="1"/>
        <v>50</v>
      </c>
      <c r="G12" s="3" t="s">
        <v>177</v>
      </c>
      <c r="H12" s="5" t="s">
        <v>49</v>
      </c>
    </row>
    <row r="13" spans="1:8" ht="21" x14ac:dyDescent="0.7">
      <c r="A13" s="2">
        <v>12</v>
      </c>
      <c r="B13" s="8" t="s">
        <v>11</v>
      </c>
      <c r="C13" s="10" t="s">
        <v>251</v>
      </c>
      <c r="D13" s="3"/>
      <c r="E13" s="3">
        <v>15</v>
      </c>
      <c r="F13" s="3">
        <f t="shared" si="1"/>
        <v>35</v>
      </c>
      <c r="G13" s="3">
        <v>3872</v>
      </c>
      <c r="H13" s="5" t="s">
        <v>139</v>
      </c>
    </row>
    <row r="14" spans="1:8" ht="21" x14ac:dyDescent="0.7">
      <c r="A14" s="2">
        <v>13</v>
      </c>
      <c r="B14" s="8" t="s">
        <v>11</v>
      </c>
      <c r="C14" s="10" t="s">
        <v>324</v>
      </c>
      <c r="D14" s="3"/>
      <c r="E14" s="3">
        <v>2</v>
      </c>
      <c r="F14" s="3">
        <f t="shared" si="1"/>
        <v>33</v>
      </c>
      <c r="G14" s="3">
        <v>3954</v>
      </c>
      <c r="H14" s="5" t="s">
        <v>128</v>
      </c>
    </row>
    <row r="15" spans="1:8" ht="20.25" customHeight="1" x14ac:dyDescent="0.3">
      <c r="A15" s="2">
        <v>14</v>
      </c>
      <c r="B15" s="8" t="s">
        <v>11</v>
      </c>
      <c r="C15" s="10"/>
      <c r="D15" s="3">
        <v>96</v>
      </c>
      <c r="E15" s="3"/>
      <c r="F15" s="3">
        <f>F14+D15</f>
        <v>129</v>
      </c>
      <c r="G15" s="46" t="s">
        <v>340</v>
      </c>
      <c r="H15" s="47"/>
    </row>
    <row r="16" spans="1:8" ht="21" x14ac:dyDescent="0.7">
      <c r="A16" s="2">
        <v>15</v>
      </c>
      <c r="B16" s="8" t="s">
        <v>11</v>
      </c>
      <c r="C16" s="10" t="s">
        <v>358</v>
      </c>
      <c r="D16" s="3"/>
      <c r="E16" s="3">
        <v>45</v>
      </c>
      <c r="F16" s="3">
        <f>F15-E16</f>
        <v>84</v>
      </c>
      <c r="G16" s="3">
        <v>4014</v>
      </c>
      <c r="H16" s="5" t="s">
        <v>96</v>
      </c>
    </row>
    <row r="17" spans="1:8" ht="20.25" customHeight="1" x14ac:dyDescent="0.3">
      <c r="A17" s="2">
        <v>16</v>
      </c>
      <c r="B17" s="8" t="s">
        <v>11</v>
      </c>
      <c r="C17" s="10"/>
      <c r="D17" s="3"/>
      <c r="E17" s="3"/>
      <c r="F17" s="3">
        <v>81</v>
      </c>
      <c r="G17" s="48" t="s">
        <v>376</v>
      </c>
      <c r="H17" s="49"/>
    </row>
    <row r="18" spans="1:8" ht="21" x14ac:dyDescent="0.7">
      <c r="A18" s="2">
        <v>17</v>
      </c>
      <c r="B18" s="8" t="s">
        <v>11</v>
      </c>
      <c r="C18" s="10" t="s">
        <v>454</v>
      </c>
      <c r="D18" s="3"/>
      <c r="E18" s="3">
        <v>1</v>
      </c>
      <c r="F18" s="3">
        <f>F17-E18</f>
        <v>80</v>
      </c>
      <c r="G18" s="3" t="s">
        <v>455</v>
      </c>
      <c r="H18" s="5" t="s">
        <v>49</v>
      </c>
    </row>
    <row r="19" spans="1:8" ht="20.25" customHeight="1" x14ac:dyDescent="0.3">
      <c r="A19" s="2">
        <v>18</v>
      </c>
      <c r="B19" s="8" t="s">
        <v>11</v>
      </c>
      <c r="C19" s="10" t="s">
        <v>495</v>
      </c>
      <c r="D19" s="3">
        <v>96</v>
      </c>
      <c r="E19" s="3"/>
      <c r="F19" s="3">
        <f>F18+D19</f>
        <v>176</v>
      </c>
      <c r="G19" s="46" t="s">
        <v>497</v>
      </c>
      <c r="H19" s="47"/>
    </row>
    <row r="20" spans="1:8" ht="21" x14ac:dyDescent="0.7">
      <c r="A20" s="2">
        <v>19</v>
      </c>
      <c r="B20" s="8" t="s">
        <v>11</v>
      </c>
      <c r="C20" s="10" t="s">
        <v>519</v>
      </c>
      <c r="D20" s="3"/>
      <c r="E20" s="3">
        <v>1</v>
      </c>
      <c r="F20" s="3">
        <f t="shared" ref="F20:F25" si="2">F19-E20</f>
        <v>175</v>
      </c>
      <c r="G20" s="3" t="s">
        <v>522</v>
      </c>
      <c r="H20" s="5" t="s">
        <v>521</v>
      </c>
    </row>
    <row r="21" spans="1:8" ht="21" x14ac:dyDescent="0.7">
      <c r="A21" s="2">
        <v>20</v>
      </c>
      <c r="B21" s="8" t="s">
        <v>11</v>
      </c>
      <c r="C21" s="10" t="s">
        <v>534</v>
      </c>
      <c r="D21" s="3"/>
      <c r="E21" s="3">
        <v>20</v>
      </c>
      <c r="F21" s="3">
        <f t="shared" si="2"/>
        <v>155</v>
      </c>
      <c r="G21" s="3">
        <v>4238</v>
      </c>
      <c r="H21" s="5" t="s">
        <v>139</v>
      </c>
    </row>
    <row r="22" spans="1:8" ht="21" x14ac:dyDescent="0.7">
      <c r="A22" s="2">
        <v>21</v>
      </c>
      <c r="B22" s="8" t="s">
        <v>11</v>
      </c>
      <c r="C22" s="10" t="s">
        <v>542</v>
      </c>
      <c r="D22" s="3"/>
      <c r="E22" s="3">
        <v>5</v>
      </c>
      <c r="F22" s="3">
        <f t="shared" si="2"/>
        <v>150</v>
      </c>
      <c r="G22" s="3">
        <v>4242</v>
      </c>
      <c r="H22" s="5" t="s">
        <v>96</v>
      </c>
    </row>
    <row r="23" spans="1:8" ht="21" x14ac:dyDescent="0.7">
      <c r="A23" s="2">
        <v>22</v>
      </c>
      <c r="B23" s="8" t="s">
        <v>11</v>
      </c>
      <c r="C23" s="10" t="s">
        <v>543</v>
      </c>
      <c r="D23" s="3"/>
      <c r="E23" s="3">
        <v>5</v>
      </c>
      <c r="F23" s="3">
        <f t="shared" si="2"/>
        <v>145</v>
      </c>
      <c r="G23" s="3">
        <v>4261</v>
      </c>
      <c r="H23" s="5" t="s">
        <v>132</v>
      </c>
    </row>
    <row r="24" spans="1:8" ht="21" x14ac:dyDescent="0.7">
      <c r="A24" s="2">
        <v>23</v>
      </c>
      <c r="B24" s="8" t="s">
        <v>11</v>
      </c>
      <c r="C24" s="10" t="s">
        <v>567</v>
      </c>
      <c r="D24" s="3"/>
      <c r="E24" s="3">
        <v>5</v>
      </c>
      <c r="F24" s="3">
        <f t="shared" si="2"/>
        <v>140</v>
      </c>
      <c r="G24" s="3">
        <v>4289</v>
      </c>
      <c r="H24" s="5" t="s">
        <v>96</v>
      </c>
    </row>
    <row r="25" spans="1:8" ht="21" x14ac:dyDescent="0.7">
      <c r="A25" s="2">
        <v>24</v>
      </c>
      <c r="B25" s="8" t="s">
        <v>11</v>
      </c>
      <c r="C25" s="10" t="s">
        <v>570</v>
      </c>
      <c r="D25" s="3"/>
      <c r="E25" s="3">
        <v>20</v>
      </c>
      <c r="F25" s="3">
        <f t="shared" si="2"/>
        <v>120</v>
      </c>
      <c r="G25" s="3">
        <v>4294</v>
      </c>
      <c r="H25" s="5" t="s">
        <v>139</v>
      </c>
    </row>
    <row r="26" spans="1:8" ht="21" x14ac:dyDescent="0.7">
      <c r="A26" s="2">
        <v>25</v>
      </c>
      <c r="B26" s="8" t="s">
        <v>11</v>
      </c>
      <c r="C26" s="10" t="s">
        <v>593</v>
      </c>
      <c r="D26" s="3"/>
      <c r="E26" s="3">
        <v>12</v>
      </c>
      <c r="F26" s="3">
        <f t="shared" ref="F26:F31" si="3">F25-E26</f>
        <v>108</v>
      </c>
      <c r="G26" s="3" t="s">
        <v>594</v>
      </c>
      <c r="H26" s="5" t="s">
        <v>49</v>
      </c>
    </row>
    <row r="27" spans="1:8" ht="21" x14ac:dyDescent="0.7">
      <c r="A27" s="2">
        <v>26</v>
      </c>
      <c r="B27" s="8" t="s">
        <v>11</v>
      </c>
      <c r="C27" s="10" t="s">
        <v>607</v>
      </c>
      <c r="D27" s="3"/>
      <c r="E27" s="3">
        <v>12</v>
      </c>
      <c r="F27" s="3">
        <f t="shared" si="3"/>
        <v>96</v>
      </c>
      <c r="G27" s="3" t="s">
        <v>609</v>
      </c>
      <c r="H27" s="5" t="s">
        <v>49</v>
      </c>
    </row>
    <row r="28" spans="1:8" ht="21" x14ac:dyDescent="0.7">
      <c r="A28" s="2">
        <v>27</v>
      </c>
      <c r="B28" s="8" t="s">
        <v>11</v>
      </c>
      <c r="C28" s="10" t="s">
        <v>648</v>
      </c>
      <c r="D28" s="3"/>
      <c r="E28" s="3">
        <v>20</v>
      </c>
      <c r="F28" s="3">
        <f t="shared" si="3"/>
        <v>76</v>
      </c>
      <c r="G28" s="3">
        <v>4368</v>
      </c>
      <c r="H28" s="5" t="s">
        <v>598</v>
      </c>
    </row>
    <row r="29" spans="1:8" ht="21" x14ac:dyDescent="0.7">
      <c r="A29" s="2">
        <v>28</v>
      </c>
      <c r="B29" s="8" t="s">
        <v>11</v>
      </c>
      <c r="C29" s="10" t="s">
        <v>656</v>
      </c>
      <c r="D29" s="3"/>
      <c r="E29" s="3">
        <v>5</v>
      </c>
      <c r="F29" s="3">
        <f t="shared" si="3"/>
        <v>71</v>
      </c>
      <c r="G29" s="3" t="s">
        <v>657</v>
      </c>
      <c r="H29" s="5" t="s">
        <v>55</v>
      </c>
    </row>
    <row r="30" spans="1:8" ht="21" x14ac:dyDescent="0.7">
      <c r="A30" s="2">
        <v>29</v>
      </c>
      <c r="B30" s="8" t="s">
        <v>11</v>
      </c>
      <c r="C30" s="10" t="s">
        <v>660</v>
      </c>
      <c r="D30" s="3"/>
      <c r="E30" s="3">
        <v>25</v>
      </c>
      <c r="F30" s="3">
        <f t="shared" si="3"/>
        <v>46</v>
      </c>
      <c r="G30" s="3">
        <v>4396</v>
      </c>
      <c r="H30" s="5" t="s">
        <v>598</v>
      </c>
    </row>
    <row r="31" spans="1:8" ht="21" x14ac:dyDescent="0.7">
      <c r="A31" s="2">
        <v>30</v>
      </c>
      <c r="B31" s="8" t="s">
        <v>11</v>
      </c>
      <c r="C31" s="10" t="s">
        <v>662</v>
      </c>
      <c r="D31" s="3"/>
      <c r="E31" s="3">
        <v>12</v>
      </c>
      <c r="F31" s="3">
        <f t="shared" si="3"/>
        <v>34</v>
      </c>
      <c r="G31" s="3" t="s">
        <v>663</v>
      </c>
      <c r="H31" s="5" t="s">
        <v>49</v>
      </c>
    </row>
    <row r="32" spans="1:8" ht="21" x14ac:dyDescent="0.7">
      <c r="A32" s="2">
        <v>31</v>
      </c>
      <c r="B32" s="8" t="s">
        <v>11</v>
      </c>
      <c r="C32" s="10"/>
      <c r="D32" s="3"/>
      <c r="E32" s="3"/>
      <c r="F32" s="3">
        <f>F31-E32</f>
        <v>34</v>
      </c>
      <c r="G32" s="3"/>
      <c r="H32" s="5"/>
    </row>
    <row r="33" spans="1:9" ht="21" x14ac:dyDescent="0.7">
      <c r="A33" s="2">
        <v>32</v>
      </c>
      <c r="B33" s="8" t="s">
        <v>11</v>
      </c>
      <c r="C33" s="10" t="s">
        <v>687</v>
      </c>
      <c r="D33" s="3"/>
      <c r="E33" s="3">
        <v>12</v>
      </c>
      <c r="F33" s="3">
        <f>F32-E33</f>
        <v>22</v>
      </c>
      <c r="G33" s="3" t="s">
        <v>688</v>
      </c>
      <c r="H33" s="5" t="s">
        <v>49</v>
      </c>
    </row>
    <row r="34" spans="1:9" ht="21" x14ac:dyDescent="0.7">
      <c r="A34" s="2">
        <v>33</v>
      </c>
      <c r="B34" s="8" t="s">
        <v>11</v>
      </c>
      <c r="C34" s="10" t="s">
        <v>701</v>
      </c>
      <c r="D34" s="3"/>
      <c r="E34" s="3">
        <v>2</v>
      </c>
      <c r="F34" s="3">
        <f>F33-E34</f>
        <v>20</v>
      </c>
      <c r="G34" s="3" t="s">
        <v>702</v>
      </c>
      <c r="H34" s="5" t="s">
        <v>49</v>
      </c>
    </row>
    <row r="35" spans="1:9" ht="21" x14ac:dyDescent="0.7">
      <c r="A35" s="2">
        <v>34</v>
      </c>
      <c r="B35" s="8" t="s">
        <v>11</v>
      </c>
      <c r="C35" s="10" t="s">
        <v>707</v>
      </c>
      <c r="D35" s="3"/>
      <c r="E35" s="3">
        <v>1</v>
      </c>
      <c r="F35" s="3">
        <f>F34-E35</f>
        <v>19</v>
      </c>
      <c r="G35" s="3">
        <v>4464</v>
      </c>
      <c r="H35" s="5" t="s">
        <v>676</v>
      </c>
    </row>
    <row r="36" spans="1:9" ht="20.25" customHeight="1" x14ac:dyDescent="0.3">
      <c r="A36" s="2">
        <v>35</v>
      </c>
      <c r="B36" s="8" t="s">
        <v>11</v>
      </c>
      <c r="C36" s="10" t="s">
        <v>784</v>
      </c>
      <c r="D36" s="3">
        <v>119</v>
      </c>
      <c r="E36" s="3"/>
      <c r="F36" s="3">
        <f>F35+D36</f>
        <v>138</v>
      </c>
      <c r="G36" s="44" t="s">
        <v>786</v>
      </c>
      <c r="H36" s="45"/>
      <c r="I36" t="s">
        <v>825</v>
      </c>
    </row>
    <row r="37" spans="1:9" ht="21" x14ac:dyDescent="0.7">
      <c r="A37" s="2">
        <v>36</v>
      </c>
      <c r="B37" s="8" t="s">
        <v>11</v>
      </c>
      <c r="C37" s="10" t="s">
        <v>793</v>
      </c>
      <c r="D37" s="3"/>
      <c r="E37" s="3">
        <v>17</v>
      </c>
      <c r="F37" s="3">
        <f t="shared" ref="F37:F42" si="4">F36-E37</f>
        <v>121</v>
      </c>
      <c r="G37" s="3">
        <v>4598</v>
      </c>
      <c r="H37" s="5" t="s">
        <v>139</v>
      </c>
    </row>
    <row r="38" spans="1:9" ht="21" x14ac:dyDescent="0.7">
      <c r="A38" s="2">
        <v>37</v>
      </c>
      <c r="B38" s="8" t="s">
        <v>11</v>
      </c>
      <c r="C38" s="10"/>
      <c r="D38" s="3"/>
      <c r="E38" s="3">
        <v>8</v>
      </c>
      <c r="F38" s="3">
        <f t="shared" si="4"/>
        <v>113</v>
      </c>
      <c r="G38" s="3"/>
      <c r="H38" s="5" t="s">
        <v>828</v>
      </c>
    </row>
    <row r="39" spans="1:9" ht="21" x14ac:dyDescent="0.7">
      <c r="A39" s="2">
        <v>38</v>
      </c>
      <c r="B39" s="8" t="s">
        <v>11</v>
      </c>
      <c r="C39" s="10" t="s">
        <v>865</v>
      </c>
      <c r="D39" s="3"/>
      <c r="E39" s="3">
        <v>15</v>
      </c>
      <c r="F39" s="3">
        <f t="shared" si="4"/>
        <v>98</v>
      </c>
      <c r="G39" s="3">
        <v>4882</v>
      </c>
      <c r="H39" s="5" t="s">
        <v>566</v>
      </c>
      <c r="I39" s="20" t="s">
        <v>1007</v>
      </c>
    </row>
    <row r="40" spans="1:9" ht="21" x14ac:dyDescent="0.7">
      <c r="A40" s="2">
        <v>39</v>
      </c>
      <c r="B40" s="8" t="s">
        <v>11</v>
      </c>
      <c r="C40" s="10" t="s">
        <v>917</v>
      </c>
      <c r="D40" s="3"/>
      <c r="E40" s="3">
        <v>1</v>
      </c>
      <c r="F40" s="3">
        <f t="shared" si="4"/>
        <v>97</v>
      </c>
      <c r="G40" s="3">
        <v>4739</v>
      </c>
      <c r="H40" s="5" t="s">
        <v>132</v>
      </c>
    </row>
    <row r="41" spans="1:9" ht="21" x14ac:dyDescent="0.7">
      <c r="A41" s="2">
        <v>40</v>
      </c>
      <c r="B41" s="8" t="s">
        <v>11</v>
      </c>
      <c r="C41" s="10" t="s">
        <v>971</v>
      </c>
      <c r="D41" s="3"/>
      <c r="E41" s="3">
        <v>3</v>
      </c>
      <c r="F41" s="3">
        <f t="shared" si="4"/>
        <v>94</v>
      </c>
      <c r="G41" s="3">
        <v>4812</v>
      </c>
      <c r="H41" s="5" t="s">
        <v>139</v>
      </c>
    </row>
    <row r="42" spans="1:9" ht="21" x14ac:dyDescent="0.7">
      <c r="A42" s="2">
        <v>41</v>
      </c>
      <c r="B42" s="8" t="s">
        <v>11</v>
      </c>
      <c r="C42" s="10" t="s">
        <v>983</v>
      </c>
      <c r="D42" s="3"/>
      <c r="E42" s="3">
        <v>17</v>
      </c>
      <c r="F42" s="3">
        <f t="shared" si="4"/>
        <v>77</v>
      </c>
      <c r="G42" s="3">
        <v>4848</v>
      </c>
      <c r="H42" s="5" t="s">
        <v>139</v>
      </c>
    </row>
    <row r="43" spans="1:9" ht="21" x14ac:dyDescent="0.7">
      <c r="A43" s="2">
        <v>42</v>
      </c>
      <c r="B43" s="8" t="s">
        <v>11</v>
      </c>
      <c r="C43" s="10" t="s">
        <v>997</v>
      </c>
      <c r="D43" s="3"/>
      <c r="E43" s="3">
        <v>1</v>
      </c>
      <c r="F43" s="3">
        <f>F42-E43</f>
        <v>76</v>
      </c>
      <c r="G43" s="21">
        <v>4880</v>
      </c>
      <c r="H43" s="22" t="s">
        <v>1006</v>
      </c>
    </row>
    <row r="44" spans="1:9" ht="20.25" customHeight="1" x14ac:dyDescent="0.3">
      <c r="A44" s="2">
        <v>43</v>
      </c>
      <c r="B44" s="8" t="s">
        <v>11</v>
      </c>
      <c r="C44" s="10" t="s">
        <v>999</v>
      </c>
      <c r="D44" s="3">
        <v>120</v>
      </c>
      <c r="E44" s="3"/>
      <c r="F44" s="3">
        <f>F43+D44</f>
        <v>196</v>
      </c>
      <c r="G44" s="44" t="s">
        <v>1003</v>
      </c>
      <c r="H44" s="45"/>
    </row>
    <row r="45" spans="1:9" ht="21" x14ac:dyDescent="0.7">
      <c r="A45" s="2">
        <v>44</v>
      </c>
      <c r="B45" s="8" t="s">
        <v>11</v>
      </c>
      <c r="C45" s="10" t="s">
        <v>1015</v>
      </c>
      <c r="D45" s="3"/>
      <c r="E45" s="3">
        <v>3</v>
      </c>
      <c r="F45" s="3">
        <f t="shared" ref="F45:F50" si="5">F44-E45</f>
        <v>193</v>
      </c>
      <c r="G45" s="3">
        <v>4890</v>
      </c>
      <c r="H45" s="5" t="s">
        <v>1027</v>
      </c>
    </row>
    <row r="46" spans="1:9" ht="21" x14ac:dyDescent="0.7">
      <c r="A46" s="2">
        <v>45</v>
      </c>
      <c r="B46" s="8" t="s">
        <v>11</v>
      </c>
      <c r="C46" s="10" t="s">
        <v>1041</v>
      </c>
      <c r="D46" s="3"/>
      <c r="E46" s="3">
        <v>10</v>
      </c>
      <c r="F46" s="3">
        <f t="shared" si="5"/>
        <v>183</v>
      </c>
      <c r="G46" s="3" t="s">
        <v>1042</v>
      </c>
      <c r="H46" s="5" t="s">
        <v>55</v>
      </c>
    </row>
    <row r="47" spans="1:9" ht="21" x14ac:dyDescent="0.7">
      <c r="A47" s="2">
        <v>46</v>
      </c>
      <c r="B47" s="8" t="s">
        <v>11</v>
      </c>
      <c r="C47" s="10" t="s">
        <v>1047</v>
      </c>
      <c r="D47" s="3"/>
      <c r="E47" s="3">
        <v>6</v>
      </c>
      <c r="F47" s="3">
        <f t="shared" si="5"/>
        <v>177</v>
      </c>
      <c r="G47" s="3" t="s">
        <v>1048</v>
      </c>
      <c r="H47" s="5" t="s">
        <v>55</v>
      </c>
    </row>
    <row r="48" spans="1:9" ht="21" x14ac:dyDescent="0.7">
      <c r="A48" s="2">
        <v>47</v>
      </c>
      <c r="B48" s="8" t="s">
        <v>11</v>
      </c>
      <c r="C48" s="10" t="s">
        <v>1066</v>
      </c>
      <c r="D48" s="3"/>
      <c r="E48" s="3">
        <v>8</v>
      </c>
      <c r="F48" s="3">
        <f t="shared" si="5"/>
        <v>169</v>
      </c>
      <c r="G48" s="3" t="s">
        <v>1067</v>
      </c>
      <c r="H48" s="5" t="s">
        <v>55</v>
      </c>
    </row>
    <row r="49" spans="1:8" ht="21" x14ac:dyDescent="0.7">
      <c r="A49" s="2">
        <v>48</v>
      </c>
      <c r="B49" s="8" t="s">
        <v>11</v>
      </c>
      <c r="C49" s="10" t="s">
        <v>1066</v>
      </c>
      <c r="D49" s="3"/>
      <c r="E49" s="3">
        <v>1</v>
      </c>
      <c r="F49" s="3">
        <f t="shared" si="5"/>
        <v>168</v>
      </c>
      <c r="G49" s="3">
        <v>4971</v>
      </c>
      <c r="H49" s="5" t="s">
        <v>1068</v>
      </c>
    </row>
    <row r="50" spans="1:8" ht="21" x14ac:dyDescent="0.7">
      <c r="A50" s="2">
        <v>49</v>
      </c>
      <c r="B50" s="8" t="s">
        <v>11</v>
      </c>
      <c r="C50" s="10" t="s">
        <v>1069</v>
      </c>
      <c r="D50" s="3"/>
      <c r="E50" s="3">
        <v>1</v>
      </c>
      <c r="F50" s="3">
        <f t="shared" si="5"/>
        <v>167</v>
      </c>
      <c r="G50" s="3">
        <v>4972</v>
      </c>
      <c r="H50" s="5" t="s">
        <v>1070</v>
      </c>
    </row>
    <row r="51" spans="1:8" ht="21" x14ac:dyDescent="0.7">
      <c r="A51" s="2">
        <v>50</v>
      </c>
      <c r="B51" s="8" t="s">
        <v>11</v>
      </c>
      <c r="C51" s="10" t="s">
        <v>1071</v>
      </c>
      <c r="D51" s="3"/>
      <c r="E51" s="3">
        <v>50</v>
      </c>
      <c r="F51" s="3">
        <f t="shared" ref="F51:F56" si="6">F50-E51</f>
        <v>117</v>
      </c>
      <c r="G51" s="3">
        <v>4973</v>
      </c>
      <c r="H51" s="5" t="s">
        <v>1072</v>
      </c>
    </row>
    <row r="52" spans="1:8" ht="21" x14ac:dyDescent="0.7">
      <c r="A52" s="2">
        <v>51</v>
      </c>
      <c r="B52" s="8" t="s">
        <v>11</v>
      </c>
      <c r="C52" s="10" t="s">
        <v>1082</v>
      </c>
      <c r="D52" s="3"/>
      <c r="E52" s="3">
        <v>3</v>
      </c>
      <c r="F52" s="3">
        <f t="shared" si="6"/>
        <v>114</v>
      </c>
      <c r="G52" s="3">
        <v>5001</v>
      </c>
      <c r="H52" s="5" t="s">
        <v>139</v>
      </c>
    </row>
    <row r="53" spans="1:8" ht="21" x14ac:dyDescent="0.7">
      <c r="A53" s="2">
        <v>52</v>
      </c>
      <c r="B53" s="8" t="s">
        <v>11</v>
      </c>
      <c r="C53" s="10" t="s">
        <v>1084</v>
      </c>
      <c r="D53" s="3"/>
      <c r="E53" s="3">
        <v>3</v>
      </c>
      <c r="F53" s="3">
        <f t="shared" si="6"/>
        <v>111</v>
      </c>
      <c r="G53" s="3" t="s">
        <v>1085</v>
      </c>
      <c r="H53" s="5" t="s">
        <v>55</v>
      </c>
    </row>
    <row r="54" spans="1:8" ht="21" x14ac:dyDescent="0.7">
      <c r="A54" s="2">
        <v>53</v>
      </c>
      <c r="B54" s="8" t="s">
        <v>11</v>
      </c>
      <c r="C54" s="10" t="s">
        <v>1088</v>
      </c>
      <c r="D54" s="3"/>
      <c r="E54" s="3">
        <v>1</v>
      </c>
      <c r="F54" s="3">
        <f t="shared" si="6"/>
        <v>110</v>
      </c>
      <c r="G54" s="3" t="s">
        <v>1089</v>
      </c>
      <c r="H54" s="5" t="s">
        <v>49</v>
      </c>
    </row>
    <row r="55" spans="1:8" ht="21" x14ac:dyDescent="0.7">
      <c r="A55" s="2">
        <v>54</v>
      </c>
      <c r="B55" s="8" t="s">
        <v>11</v>
      </c>
      <c r="C55" s="10" t="s">
        <v>1088</v>
      </c>
      <c r="D55" s="3"/>
      <c r="E55" s="3">
        <v>1</v>
      </c>
      <c r="F55" s="3">
        <f t="shared" si="6"/>
        <v>109</v>
      </c>
      <c r="G55" s="3" t="s">
        <v>1090</v>
      </c>
      <c r="H55" s="5" t="s">
        <v>55</v>
      </c>
    </row>
    <row r="56" spans="1:8" ht="21" x14ac:dyDescent="0.7">
      <c r="A56" s="2">
        <v>55</v>
      </c>
      <c r="B56" s="8" t="s">
        <v>11</v>
      </c>
      <c r="C56" s="10" t="s">
        <v>1093</v>
      </c>
      <c r="D56" s="3"/>
      <c r="E56" s="3">
        <v>20</v>
      </c>
      <c r="F56" s="3">
        <f t="shared" si="6"/>
        <v>89</v>
      </c>
      <c r="G56" s="3">
        <v>5022</v>
      </c>
      <c r="H56" s="5" t="s">
        <v>139</v>
      </c>
    </row>
    <row r="57" spans="1:8" ht="21" x14ac:dyDescent="0.7">
      <c r="A57" s="2">
        <v>56</v>
      </c>
      <c r="B57" s="8" t="s">
        <v>11</v>
      </c>
      <c r="C57" s="10" t="s">
        <v>1093</v>
      </c>
      <c r="D57" s="3"/>
      <c r="E57" s="3">
        <v>20</v>
      </c>
      <c r="F57" s="3">
        <f t="shared" ref="F57:F62" si="7">F56-E57</f>
        <v>69</v>
      </c>
      <c r="G57" s="3">
        <v>5023</v>
      </c>
      <c r="H57" s="5" t="s">
        <v>1072</v>
      </c>
    </row>
    <row r="58" spans="1:8" ht="21" x14ac:dyDescent="0.7">
      <c r="A58" s="2">
        <v>57</v>
      </c>
      <c r="B58" s="8" t="s">
        <v>11</v>
      </c>
      <c r="C58" s="10" t="s">
        <v>1093</v>
      </c>
      <c r="D58" s="3"/>
      <c r="E58" s="3">
        <v>1</v>
      </c>
      <c r="F58" s="3">
        <f t="shared" si="7"/>
        <v>68</v>
      </c>
      <c r="G58" s="3">
        <v>5024</v>
      </c>
      <c r="H58" s="5" t="s">
        <v>1097</v>
      </c>
    </row>
    <row r="59" spans="1:8" ht="21" x14ac:dyDescent="0.7">
      <c r="A59" s="2">
        <v>58</v>
      </c>
      <c r="B59" s="8" t="s">
        <v>11</v>
      </c>
      <c r="C59" s="10" t="s">
        <v>1104</v>
      </c>
      <c r="D59" s="3"/>
      <c r="E59" s="3">
        <v>1</v>
      </c>
      <c r="F59" s="3">
        <f t="shared" si="7"/>
        <v>67</v>
      </c>
      <c r="G59" s="3">
        <v>5043</v>
      </c>
      <c r="H59" s="5" t="s">
        <v>169</v>
      </c>
    </row>
    <row r="60" spans="1:8" ht="21" x14ac:dyDescent="0.7">
      <c r="A60" s="2">
        <v>59</v>
      </c>
      <c r="B60" s="8" t="s">
        <v>11</v>
      </c>
      <c r="C60" s="10" t="s">
        <v>1105</v>
      </c>
      <c r="D60" s="3"/>
      <c r="E60" s="3">
        <v>1</v>
      </c>
      <c r="F60" s="3">
        <f t="shared" si="7"/>
        <v>66</v>
      </c>
      <c r="G60" s="3" t="s">
        <v>1107</v>
      </c>
      <c r="H60" s="5" t="s">
        <v>55</v>
      </c>
    </row>
    <row r="61" spans="1:8" ht="21" x14ac:dyDescent="0.7">
      <c r="A61" s="2">
        <v>60</v>
      </c>
      <c r="B61" s="8" t="s">
        <v>11</v>
      </c>
      <c r="C61" s="10" t="s">
        <v>1108</v>
      </c>
      <c r="D61" s="3"/>
      <c r="E61" s="3">
        <v>1</v>
      </c>
      <c r="F61" s="3">
        <f t="shared" si="7"/>
        <v>65</v>
      </c>
      <c r="G61" s="3" t="s">
        <v>1109</v>
      </c>
      <c r="H61" s="5" t="s">
        <v>55</v>
      </c>
    </row>
    <row r="62" spans="1:8" ht="21" x14ac:dyDescent="0.7">
      <c r="A62" s="2">
        <v>61</v>
      </c>
      <c r="B62" s="8" t="s">
        <v>11</v>
      </c>
      <c r="C62" s="10" t="s">
        <v>1105</v>
      </c>
      <c r="D62" s="3"/>
      <c r="E62" s="3">
        <v>4</v>
      </c>
      <c r="F62" s="3">
        <f t="shared" si="7"/>
        <v>61</v>
      </c>
      <c r="G62" s="3">
        <v>5044</v>
      </c>
      <c r="H62" s="5" t="s">
        <v>1110</v>
      </c>
    </row>
    <row r="63" spans="1:8" ht="21" x14ac:dyDescent="0.7">
      <c r="A63" s="2">
        <v>62</v>
      </c>
      <c r="B63" s="8" t="s">
        <v>11</v>
      </c>
      <c r="C63" s="10" t="s">
        <v>1115</v>
      </c>
      <c r="D63" s="3"/>
      <c r="E63" s="3">
        <v>5</v>
      </c>
      <c r="F63" s="3">
        <f t="shared" ref="F63:F68" si="8">F62-E63</f>
        <v>56</v>
      </c>
      <c r="G63" s="3">
        <v>5076</v>
      </c>
      <c r="H63" s="5" t="s">
        <v>545</v>
      </c>
    </row>
    <row r="64" spans="1:8" ht="21" x14ac:dyDescent="0.7">
      <c r="A64" s="2">
        <v>63</v>
      </c>
      <c r="B64" s="8" t="s">
        <v>11</v>
      </c>
      <c r="C64" s="10" t="s">
        <v>1116</v>
      </c>
      <c r="D64" s="3"/>
      <c r="E64" s="3">
        <v>5</v>
      </c>
      <c r="F64" s="3">
        <f t="shared" si="8"/>
        <v>51</v>
      </c>
      <c r="G64" s="3" t="s">
        <v>1117</v>
      </c>
      <c r="H64" s="5" t="s">
        <v>55</v>
      </c>
    </row>
    <row r="65" spans="1:9" ht="21" x14ac:dyDescent="0.7">
      <c r="A65" s="2">
        <v>64</v>
      </c>
      <c r="B65" s="8" t="s">
        <v>11</v>
      </c>
      <c r="C65" s="10" t="s">
        <v>1119</v>
      </c>
      <c r="D65" s="3"/>
      <c r="E65" s="3">
        <v>5</v>
      </c>
      <c r="F65" s="3">
        <f t="shared" si="8"/>
        <v>46</v>
      </c>
      <c r="G65" s="3">
        <v>5078</v>
      </c>
      <c r="H65" s="5" t="s">
        <v>850</v>
      </c>
    </row>
    <row r="66" spans="1:9" ht="21" x14ac:dyDescent="0.7">
      <c r="A66" s="2">
        <v>65</v>
      </c>
      <c r="B66" s="8" t="s">
        <v>11</v>
      </c>
      <c r="C66" s="10" t="s">
        <v>1121</v>
      </c>
      <c r="D66" s="3"/>
      <c r="E66" s="3">
        <v>20</v>
      </c>
      <c r="F66" s="3">
        <f t="shared" si="8"/>
        <v>26</v>
      </c>
      <c r="G66" s="3">
        <v>5080</v>
      </c>
      <c r="H66" s="5" t="s">
        <v>139</v>
      </c>
    </row>
    <row r="67" spans="1:9" ht="21" x14ac:dyDescent="0.7">
      <c r="A67" s="2">
        <v>66</v>
      </c>
      <c r="B67" s="8" t="s">
        <v>11</v>
      </c>
      <c r="C67" s="10" t="s">
        <v>1122</v>
      </c>
      <c r="D67" s="3"/>
      <c r="E67" s="3">
        <v>15</v>
      </c>
      <c r="F67" s="3">
        <f t="shared" si="8"/>
        <v>11</v>
      </c>
      <c r="G67" s="3">
        <v>5082</v>
      </c>
      <c r="H67" s="5" t="s">
        <v>128</v>
      </c>
    </row>
    <row r="68" spans="1:9" ht="21" x14ac:dyDescent="0.7">
      <c r="A68" s="2">
        <v>67</v>
      </c>
      <c r="B68" s="8" t="s">
        <v>11</v>
      </c>
      <c r="C68" s="10" t="s">
        <v>1122</v>
      </c>
      <c r="D68" s="3"/>
      <c r="E68" s="3">
        <v>3</v>
      </c>
      <c r="F68" s="3">
        <f t="shared" si="8"/>
        <v>8</v>
      </c>
      <c r="G68" s="3">
        <v>5083</v>
      </c>
      <c r="H68" s="5" t="s">
        <v>1123</v>
      </c>
    </row>
    <row r="69" spans="1:9" ht="21" x14ac:dyDescent="0.7">
      <c r="A69" s="2">
        <v>68</v>
      </c>
      <c r="B69" s="8" t="s">
        <v>11</v>
      </c>
      <c r="C69" s="10" t="s">
        <v>1116</v>
      </c>
      <c r="D69" s="3"/>
      <c r="E69" s="3">
        <v>4</v>
      </c>
      <c r="F69" s="3">
        <f>F68-E69</f>
        <v>4</v>
      </c>
      <c r="G69" s="3">
        <v>5088</v>
      </c>
      <c r="H69" s="5" t="s">
        <v>434</v>
      </c>
    </row>
    <row r="70" spans="1:9" ht="21" x14ac:dyDescent="0.7">
      <c r="A70" s="2">
        <v>69</v>
      </c>
      <c r="B70" s="8" t="s">
        <v>11</v>
      </c>
      <c r="C70" s="10" t="s">
        <v>1116</v>
      </c>
      <c r="D70" s="3"/>
      <c r="E70" s="3">
        <v>2</v>
      </c>
      <c r="F70" s="3">
        <f>F69-E70</f>
        <v>2</v>
      </c>
      <c r="G70" s="3">
        <v>5090</v>
      </c>
      <c r="H70" s="5" t="s">
        <v>1126</v>
      </c>
    </row>
    <row r="71" spans="1:9" ht="21" x14ac:dyDescent="0.7">
      <c r="A71" s="2">
        <v>70</v>
      </c>
      <c r="B71" s="8" t="s">
        <v>11</v>
      </c>
      <c r="C71" s="10" t="s">
        <v>1130</v>
      </c>
      <c r="D71" s="3"/>
      <c r="E71" s="3">
        <v>1</v>
      </c>
      <c r="F71" s="3">
        <f>F70-E71</f>
        <v>1</v>
      </c>
      <c r="G71" s="3">
        <v>5096</v>
      </c>
      <c r="H71" s="5" t="s">
        <v>1131</v>
      </c>
    </row>
    <row r="72" spans="1:9" ht="21" x14ac:dyDescent="0.7">
      <c r="A72" s="2">
        <v>71</v>
      </c>
      <c r="B72" s="8" t="s">
        <v>11</v>
      </c>
      <c r="C72" s="10" t="s">
        <v>1151</v>
      </c>
      <c r="D72" s="3"/>
      <c r="E72" s="3">
        <v>3</v>
      </c>
      <c r="F72" s="3">
        <f>F71-E72</f>
        <v>-2</v>
      </c>
      <c r="G72" s="3" t="s">
        <v>1152</v>
      </c>
      <c r="H72" s="5" t="s">
        <v>55</v>
      </c>
      <c r="I72" t="s">
        <v>1153</v>
      </c>
    </row>
    <row r="73" spans="1:9" ht="21" x14ac:dyDescent="0.7">
      <c r="A73" s="2">
        <v>72</v>
      </c>
      <c r="B73" s="8" t="s">
        <v>11</v>
      </c>
      <c r="C73" s="10"/>
      <c r="D73" s="3"/>
      <c r="E73" s="3"/>
      <c r="F73" s="3">
        <v>0</v>
      </c>
      <c r="G73" s="3"/>
      <c r="H73" s="5"/>
    </row>
    <row r="74" spans="1:9" ht="21" x14ac:dyDescent="0.7">
      <c r="A74" s="2">
        <v>73</v>
      </c>
      <c r="B74" s="8" t="s">
        <v>11</v>
      </c>
      <c r="C74" s="10" t="s">
        <v>1372</v>
      </c>
      <c r="D74" s="3">
        <v>264</v>
      </c>
      <c r="E74" s="3"/>
      <c r="F74" s="3">
        <v>264</v>
      </c>
      <c r="G74" s="3"/>
      <c r="H74" s="19" t="s">
        <v>1371</v>
      </c>
    </row>
    <row r="75" spans="1:9" ht="21" x14ac:dyDescent="0.7">
      <c r="A75" s="2">
        <v>74</v>
      </c>
      <c r="B75" s="8" t="s">
        <v>11</v>
      </c>
      <c r="C75" s="10" t="s">
        <v>1387</v>
      </c>
      <c r="D75" s="3"/>
      <c r="E75" s="3">
        <v>10</v>
      </c>
      <c r="F75" s="3">
        <f t="shared" ref="F75:F80" si="9">F74-E75</f>
        <v>254</v>
      </c>
      <c r="G75" s="3">
        <v>5400</v>
      </c>
      <c r="H75" s="5" t="s">
        <v>1390</v>
      </c>
    </row>
    <row r="76" spans="1:9" ht="21" x14ac:dyDescent="0.7">
      <c r="A76" s="2">
        <v>75</v>
      </c>
      <c r="B76" s="8" t="s">
        <v>11</v>
      </c>
      <c r="C76" s="10" t="s">
        <v>1391</v>
      </c>
      <c r="D76" s="3"/>
      <c r="E76" s="3">
        <v>25</v>
      </c>
      <c r="F76" s="3">
        <f t="shared" si="9"/>
        <v>229</v>
      </c>
      <c r="G76" s="3">
        <v>5401</v>
      </c>
      <c r="H76" s="5" t="s">
        <v>717</v>
      </c>
    </row>
    <row r="77" spans="1:9" ht="21" x14ac:dyDescent="0.7">
      <c r="A77" s="2">
        <v>76</v>
      </c>
      <c r="B77" s="8" t="s">
        <v>11</v>
      </c>
      <c r="C77" s="10" t="s">
        <v>1406</v>
      </c>
      <c r="D77" s="3"/>
      <c r="E77" s="3">
        <v>1</v>
      </c>
      <c r="F77" s="3">
        <f t="shared" si="9"/>
        <v>228</v>
      </c>
      <c r="G77" s="3">
        <v>5413</v>
      </c>
      <c r="H77" s="5" t="s">
        <v>1407</v>
      </c>
    </row>
    <row r="78" spans="1:9" ht="21" x14ac:dyDescent="0.7">
      <c r="A78" s="2">
        <v>77</v>
      </c>
      <c r="B78" s="8" t="s">
        <v>11</v>
      </c>
      <c r="C78" s="10" t="s">
        <v>1554</v>
      </c>
      <c r="D78" s="3"/>
      <c r="E78" s="3">
        <v>6</v>
      </c>
      <c r="F78" s="3">
        <f t="shared" si="9"/>
        <v>222</v>
      </c>
      <c r="G78" s="3">
        <v>5589</v>
      </c>
      <c r="H78" s="5" t="s">
        <v>849</v>
      </c>
    </row>
    <row r="79" spans="1:9" ht="21" x14ac:dyDescent="0.7">
      <c r="A79" s="2">
        <v>78</v>
      </c>
      <c r="B79" s="8" t="s">
        <v>11</v>
      </c>
      <c r="C79" s="10" t="s">
        <v>1558</v>
      </c>
      <c r="D79" s="3"/>
      <c r="E79" s="3">
        <v>1</v>
      </c>
      <c r="F79" s="3">
        <f t="shared" si="9"/>
        <v>221</v>
      </c>
      <c r="G79" s="3">
        <v>5608</v>
      </c>
      <c r="H79" s="5" t="s">
        <v>1559</v>
      </c>
    </row>
    <row r="80" spans="1:9" ht="21" x14ac:dyDescent="0.7">
      <c r="A80" s="2">
        <v>79</v>
      </c>
      <c r="B80" s="8" t="s">
        <v>11</v>
      </c>
      <c r="C80" s="10" t="s">
        <v>1586</v>
      </c>
      <c r="D80" s="3"/>
      <c r="E80" s="3">
        <v>85</v>
      </c>
      <c r="F80" s="3">
        <f t="shared" si="9"/>
        <v>136</v>
      </c>
      <c r="G80" s="3" t="s">
        <v>1587</v>
      </c>
      <c r="H80" s="5" t="s">
        <v>49</v>
      </c>
    </row>
    <row r="81" spans="1:8" ht="21" x14ac:dyDescent="0.7">
      <c r="A81" s="2">
        <v>80</v>
      </c>
      <c r="B81" s="8" t="s">
        <v>11</v>
      </c>
      <c r="C81" s="10" t="s">
        <v>1705</v>
      </c>
      <c r="D81" s="3"/>
      <c r="E81" s="3">
        <v>1</v>
      </c>
      <c r="F81" s="3">
        <f t="shared" ref="F81:F86" si="10">F80-E81</f>
        <v>135</v>
      </c>
      <c r="G81" s="3">
        <v>5844</v>
      </c>
      <c r="H81" s="5" t="s">
        <v>1309</v>
      </c>
    </row>
    <row r="82" spans="1:8" ht="21" x14ac:dyDescent="0.7">
      <c r="A82" s="2">
        <v>81</v>
      </c>
      <c r="B82" s="8" t="s">
        <v>11</v>
      </c>
      <c r="C82" s="10" t="s">
        <v>1705</v>
      </c>
      <c r="D82" s="3"/>
      <c r="E82" s="3">
        <v>2</v>
      </c>
      <c r="F82" s="3">
        <f t="shared" si="10"/>
        <v>133</v>
      </c>
      <c r="G82" s="3">
        <v>5846</v>
      </c>
      <c r="H82" s="5" t="s">
        <v>132</v>
      </c>
    </row>
    <row r="83" spans="1:8" ht="21" x14ac:dyDescent="0.7">
      <c r="A83" s="2">
        <v>82</v>
      </c>
      <c r="B83" s="8" t="s">
        <v>11</v>
      </c>
      <c r="C83" s="10" t="s">
        <v>1705</v>
      </c>
      <c r="D83" s="3"/>
      <c r="E83" s="3">
        <v>4</v>
      </c>
      <c r="F83" s="3">
        <f t="shared" si="10"/>
        <v>129</v>
      </c>
      <c r="G83" s="3">
        <v>5848</v>
      </c>
      <c r="H83" s="5" t="s">
        <v>1706</v>
      </c>
    </row>
    <row r="84" spans="1:8" ht="21" x14ac:dyDescent="0.7">
      <c r="A84" s="2">
        <v>83</v>
      </c>
      <c r="B84" s="8" t="s">
        <v>11</v>
      </c>
      <c r="C84" s="10" t="s">
        <v>1708</v>
      </c>
      <c r="D84" s="3"/>
      <c r="E84" s="3">
        <v>5</v>
      </c>
      <c r="F84" s="3">
        <f t="shared" si="10"/>
        <v>124</v>
      </c>
      <c r="G84" s="3">
        <v>5850</v>
      </c>
      <c r="H84" s="5" t="s">
        <v>1614</v>
      </c>
    </row>
    <row r="85" spans="1:8" ht="21" x14ac:dyDescent="0.7">
      <c r="A85" s="2">
        <v>84</v>
      </c>
      <c r="B85" s="8" t="s">
        <v>11</v>
      </c>
      <c r="C85" s="10" t="s">
        <v>1731</v>
      </c>
      <c r="D85" s="3"/>
      <c r="E85" s="3">
        <v>15</v>
      </c>
      <c r="F85" s="3">
        <f t="shared" si="10"/>
        <v>109</v>
      </c>
      <c r="G85" s="3">
        <v>5888</v>
      </c>
      <c r="H85" s="5" t="s">
        <v>1732</v>
      </c>
    </row>
    <row r="86" spans="1:8" ht="21" x14ac:dyDescent="0.7">
      <c r="A86" s="2">
        <v>85</v>
      </c>
      <c r="B86" s="8" t="s">
        <v>11</v>
      </c>
      <c r="C86" s="10" t="s">
        <v>1735</v>
      </c>
      <c r="D86" s="3"/>
      <c r="E86" s="3">
        <v>1</v>
      </c>
      <c r="F86" s="3">
        <f t="shared" si="10"/>
        <v>108</v>
      </c>
      <c r="G86" s="3">
        <v>5903</v>
      </c>
      <c r="H86" s="5" t="s">
        <v>1443</v>
      </c>
    </row>
    <row r="87" spans="1:8" ht="21" x14ac:dyDescent="0.7">
      <c r="A87" s="2">
        <v>86</v>
      </c>
      <c r="B87" s="8" t="s">
        <v>11</v>
      </c>
      <c r="C87" s="10" t="s">
        <v>1738</v>
      </c>
      <c r="D87" s="3"/>
      <c r="E87" s="3">
        <v>1</v>
      </c>
      <c r="F87" s="3">
        <f t="shared" ref="F87:F92" si="11">F86-E87</f>
        <v>107</v>
      </c>
      <c r="G87" s="3">
        <v>5909</v>
      </c>
      <c r="H87" s="5" t="s">
        <v>1443</v>
      </c>
    </row>
    <row r="88" spans="1:8" ht="21" x14ac:dyDescent="0.7">
      <c r="A88" s="2">
        <v>87</v>
      </c>
      <c r="B88" s="8" t="s">
        <v>11</v>
      </c>
      <c r="C88" s="10" t="s">
        <v>1775</v>
      </c>
      <c r="D88" s="3"/>
      <c r="E88" s="3">
        <v>1</v>
      </c>
      <c r="F88" s="3">
        <f t="shared" si="11"/>
        <v>106</v>
      </c>
      <c r="G88" s="3">
        <v>5979</v>
      </c>
      <c r="H88" s="5" t="s">
        <v>834</v>
      </c>
    </row>
    <row r="89" spans="1:8" ht="21" x14ac:dyDescent="0.7">
      <c r="A89" s="2">
        <v>88</v>
      </c>
      <c r="B89" s="8" t="s">
        <v>11</v>
      </c>
      <c r="C89" s="10" t="s">
        <v>1784</v>
      </c>
      <c r="D89" s="3"/>
      <c r="E89" s="3">
        <v>5</v>
      </c>
      <c r="F89" s="3">
        <f t="shared" si="11"/>
        <v>101</v>
      </c>
      <c r="G89" s="3">
        <v>5985</v>
      </c>
      <c r="H89" s="5" t="s">
        <v>132</v>
      </c>
    </row>
    <row r="90" spans="1:8" ht="21" x14ac:dyDescent="0.7">
      <c r="A90" s="2">
        <v>89</v>
      </c>
      <c r="B90" s="8" t="s">
        <v>11</v>
      </c>
      <c r="C90" s="10" t="s">
        <v>1790</v>
      </c>
      <c r="D90" s="3"/>
      <c r="E90" s="3">
        <v>75</v>
      </c>
      <c r="F90" s="3">
        <f t="shared" si="11"/>
        <v>26</v>
      </c>
      <c r="G90" s="3">
        <v>6020</v>
      </c>
      <c r="H90" s="5" t="s">
        <v>1793</v>
      </c>
    </row>
    <row r="91" spans="1:8" ht="21" x14ac:dyDescent="0.7">
      <c r="A91" s="2">
        <v>90</v>
      </c>
      <c r="B91" s="8" t="s">
        <v>11</v>
      </c>
      <c r="C91" s="10" t="s">
        <v>1814</v>
      </c>
      <c r="D91" s="3"/>
      <c r="E91" s="3">
        <v>4</v>
      </c>
      <c r="F91" s="3">
        <f t="shared" si="11"/>
        <v>22</v>
      </c>
      <c r="G91" s="3" t="s">
        <v>1819</v>
      </c>
      <c r="H91" s="5" t="s">
        <v>1820</v>
      </c>
    </row>
    <row r="92" spans="1:8" ht="21" x14ac:dyDescent="0.7">
      <c r="A92" s="2">
        <v>91</v>
      </c>
      <c r="B92" s="8" t="s">
        <v>11</v>
      </c>
      <c r="C92" s="10" t="s">
        <v>1821</v>
      </c>
      <c r="D92" s="3"/>
      <c r="E92" s="3">
        <v>4</v>
      </c>
      <c r="F92" s="3">
        <f t="shared" si="11"/>
        <v>18</v>
      </c>
      <c r="G92" s="3">
        <v>6041</v>
      </c>
      <c r="H92" s="5" t="s">
        <v>132</v>
      </c>
    </row>
    <row r="93" spans="1:8" ht="21" x14ac:dyDescent="0.7">
      <c r="A93" s="2">
        <v>92</v>
      </c>
      <c r="B93" s="8" t="s">
        <v>11</v>
      </c>
      <c r="C93" s="10" t="s">
        <v>1838</v>
      </c>
      <c r="D93" s="3"/>
      <c r="E93" s="3">
        <v>7</v>
      </c>
      <c r="F93" s="3">
        <f t="shared" ref="F93:F98" si="12">F92-E93</f>
        <v>11</v>
      </c>
      <c r="G93" s="3" t="s">
        <v>1840</v>
      </c>
      <c r="H93" s="5" t="s">
        <v>55</v>
      </c>
    </row>
    <row r="94" spans="1:8" ht="21" x14ac:dyDescent="0.7">
      <c r="A94" s="2">
        <v>93</v>
      </c>
      <c r="B94" s="8" t="s">
        <v>11</v>
      </c>
      <c r="C94" s="10" t="s">
        <v>1838</v>
      </c>
      <c r="D94" s="3"/>
      <c r="E94" s="3">
        <v>2</v>
      </c>
      <c r="F94" s="3">
        <f t="shared" si="12"/>
        <v>9</v>
      </c>
      <c r="G94" s="3">
        <v>6074</v>
      </c>
      <c r="H94" s="5" t="s">
        <v>1841</v>
      </c>
    </row>
    <row r="95" spans="1:8" ht="21" x14ac:dyDescent="0.7">
      <c r="A95" s="2">
        <v>94</v>
      </c>
      <c r="B95" s="8" t="s">
        <v>11</v>
      </c>
      <c r="C95" s="10" t="s">
        <v>1842</v>
      </c>
      <c r="D95" s="3"/>
      <c r="E95" s="3">
        <v>5</v>
      </c>
      <c r="F95" s="3">
        <f t="shared" si="12"/>
        <v>4</v>
      </c>
      <c r="G95" s="3" t="s">
        <v>1843</v>
      </c>
      <c r="H95" s="5" t="s">
        <v>55</v>
      </c>
    </row>
    <row r="96" spans="1:8" ht="21" x14ac:dyDescent="0.7">
      <c r="A96" s="2">
        <v>95</v>
      </c>
      <c r="B96" s="8" t="s">
        <v>11</v>
      </c>
      <c r="C96" s="10" t="s">
        <v>1846</v>
      </c>
      <c r="D96" s="3"/>
      <c r="E96" s="3">
        <v>2</v>
      </c>
      <c r="F96" s="3">
        <f t="shared" si="12"/>
        <v>2</v>
      </c>
      <c r="G96" s="3" t="s">
        <v>1847</v>
      </c>
      <c r="H96" s="5" t="s">
        <v>55</v>
      </c>
    </row>
    <row r="97" spans="1:8" ht="21" x14ac:dyDescent="0.7">
      <c r="A97" s="2">
        <v>96</v>
      </c>
      <c r="B97" s="8" t="s">
        <v>11</v>
      </c>
      <c r="C97" s="10" t="s">
        <v>1852</v>
      </c>
      <c r="D97" s="3"/>
      <c r="E97" s="3">
        <v>1</v>
      </c>
      <c r="F97" s="3">
        <f t="shared" si="12"/>
        <v>1</v>
      </c>
      <c r="G97" s="3">
        <v>6081</v>
      </c>
      <c r="H97" s="5" t="s">
        <v>1853</v>
      </c>
    </row>
    <row r="98" spans="1:8" ht="21" x14ac:dyDescent="0.7">
      <c r="A98" s="2">
        <v>97</v>
      </c>
      <c r="B98" s="8" t="s">
        <v>11</v>
      </c>
      <c r="C98" s="10" t="s">
        <v>1855</v>
      </c>
      <c r="D98" s="3"/>
      <c r="E98" s="3">
        <v>1</v>
      </c>
      <c r="F98" s="3">
        <f t="shared" si="12"/>
        <v>0</v>
      </c>
      <c r="G98" s="3" t="s">
        <v>1858</v>
      </c>
      <c r="H98" s="5" t="s">
        <v>55</v>
      </c>
    </row>
    <row r="99" spans="1:8" ht="21" x14ac:dyDescent="0.7">
      <c r="A99" s="2">
        <v>98</v>
      </c>
      <c r="B99" s="8" t="s">
        <v>11</v>
      </c>
      <c r="C99" s="10"/>
      <c r="D99" s="3"/>
      <c r="E99" s="3"/>
      <c r="F99" s="3"/>
      <c r="G99" s="3"/>
      <c r="H99" s="5"/>
    </row>
  </sheetData>
  <mergeCells count="6">
    <mergeCell ref="G44:H44"/>
    <mergeCell ref="G9:H9"/>
    <mergeCell ref="G15:H15"/>
    <mergeCell ref="G17:H17"/>
    <mergeCell ref="G19:H19"/>
    <mergeCell ref="G36:H36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H17"/>
  <sheetViews>
    <sheetView rightToLeft="1" zoomScale="110" zoomScaleNormal="110" workbookViewId="0">
      <pane ySplit="1" topLeftCell="A8" activePane="bottomLeft" state="frozen"/>
      <selection pane="bottomLeft" activeCell="H16" sqref="H16"/>
    </sheetView>
  </sheetViews>
  <sheetFormatPr defaultRowHeight="14.4" x14ac:dyDescent="0.3"/>
  <cols>
    <col min="2" max="2" width="12.5546875" bestFit="1" customWidth="1"/>
    <col min="7" max="7" width="11.88671875" bestFit="1" customWidth="1"/>
    <col min="8" max="8" width="22.88671875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12</v>
      </c>
      <c r="C2" s="10" t="s">
        <v>44</v>
      </c>
      <c r="D2" s="3"/>
      <c r="E2" s="3">
        <v>1</v>
      </c>
      <c r="F2" s="3">
        <v>57</v>
      </c>
      <c r="G2" s="3"/>
      <c r="H2" s="5" t="s">
        <v>45</v>
      </c>
    </row>
    <row r="3" spans="1:8" ht="21" x14ac:dyDescent="0.7">
      <c r="A3" s="2">
        <v>2</v>
      </c>
      <c r="B3" s="8" t="s">
        <v>12</v>
      </c>
      <c r="C3" s="10" t="s">
        <v>432</v>
      </c>
      <c r="D3" s="3"/>
      <c r="E3" s="3">
        <v>1</v>
      </c>
      <c r="F3" s="3">
        <f t="shared" ref="F3:F8" si="0">F2-E3</f>
        <v>56</v>
      </c>
      <c r="G3" s="3" t="s">
        <v>435</v>
      </c>
      <c r="H3" s="5" t="s">
        <v>436</v>
      </c>
    </row>
    <row r="4" spans="1:8" ht="21" x14ac:dyDescent="0.7">
      <c r="A4" s="2">
        <v>3</v>
      </c>
      <c r="B4" s="8" t="s">
        <v>12</v>
      </c>
      <c r="C4" s="10" t="s">
        <v>508</v>
      </c>
      <c r="D4" s="3"/>
      <c r="E4" s="3">
        <v>1</v>
      </c>
      <c r="F4" s="3">
        <f t="shared" si="0"/>
        <v>55</v>
      </c>
      <c r="G4" s="3" t="s">
        <v>509</v>
      </c>
      <c r="H4" s="5" t="s">
        <v>510</v>
      </c>
    </row>
    <row r="5" spans="1:8" ht="42" x14ac:dyDescent="0.7">
      <c r="A5" s="2">
        <v>4</v>
      </c>
      <c r="B5" s="8" t="s">
        <v>12</v>
      </c>
      <c r="C5" s="10" t="s">
        <v>773</v>
      </c>
      <c r="D5" s="3"/>
      <c r="E5" s="3">
        <v>1</v>
      </c>
      <c r="F5" s="3">
        <f t="shared" si="0"/>
        <v>54</v>
      </c>
      <c r="G5" s="3" t="s">
        <v>774</v>
      </c>
      <c r="H5" s="18" t="s">
        <v>775</v>
      </c>
    </row>
    <row r="6" spans="1:8" ht="21" x14ac:dyDescent="0.7">
      <c r="A6" s="2">
        <v>5</v>
      </c>
      <c r="B6" s="8" t="s">
        <v>12</v>
      </c>
      <c r="C6" s="10" t="s">
        <v>784</v>
      </c>
      <c r="D6" s="3"/>
      <c r="E6" s="3">
        <v>1</v>
      </c>
      <c r="F6" s="3">
        <f t="shared" si="0"/>
        <v>53</v>
      </c>
      <c r="G6" s="3">
        <v>4589</v>
      </c>
      <c r="H6" s="5" t="s">
        <v>792</v>
      </c>
    </row>
    <row r="7" spans="1:8" ht="21" x14ac:dyDescent="0.7">
      <c r="A7" s="2">
        <v>6</v>
      </c>
      <c r="B7" s="8" t="s">
        <v>12</v>
      </c>
      <c r="C7" s="10" t="s">
        <v>869</v>
      </c>
      <c r="D7" s="3"/>
      <c r="E7" s="3">
        <v>1</v>
      </c>
      <c r="F7" s="3">
        <f t="shared" si="0"/>
        <v>52</v>
      </c>
      <c r="G7" s="3">
        <v>4692</v>
      </c>
      <c r="H7" s="5" t="s">
        <v>870</v>
      </c>
    </row>
    <row r="8" spans="1:8" ht="21" x14ac:dyDescent="0.7">
      <c r="A8" s="2">
        <v>7</v>
      </c>
      <c r="B8" s="8" t="s">
        <v>12</v>
      </c>
      <c r="C8" s="10" t="s">
        <v>918</v>
      </c>
      <c r="D8" s="3"/>
      <c r="E8" s="3">
        <v>1</v>
      </c>
      <c r="F8" s="3">
        <f t="shared" si="0"/>
        <v>51</v>
      </c>
      <c r="G8" s="3">
        <v>4744</v>
      </c>
      <c r="H8" s="5" t="s">
        <v>919</v>
      </c>
    </row>
    <row r="9" spans="1:8" ht="21" x14ac:dyDescent="0.7">
      <c r="A9" s="2">
        <v>8</v>
      </c>
      <c r="B9" s="8" t="s">
        <v>12</v>
      </c>
      <c r="C9" s="10" t="s">
        <v>1015</v>
      </c>
      <c r="D9" s="3"/>
      <c r="E9" s="3">
        <v>1</v>
      </c>
      <c r="F9" s="3">
        <f t="shared" ref="F9:F14" si="1">F8-E9</f>
        <v>50</v>
      </c>
      <c r="G9" s="3">
        <v>4888</v>
      </c>
      <c r="H9" s="5" t="s">
        <v>1022</v>
      </c>
    </row>
    <row r="10" spans="1:8" ht="21" x14ac:dyDescent="0.7">
      <c r="A10" s="2">
        <v>9</v>
      </c>
      <c r="B10" s="8" t="s">
        <v>12</v>
      </c>
      <c r="C10" s="10" t="s">
        <v>1017</v>
      </c>
      <c r="D10" s="3"/>
      <c r="E10" s="3">
        <v>1</v>
      </c>
      <c r="F10" s="3">
        <f t="shared" si="1"/>
        <v>49</v>
      </c>
      <c r="G10" s="3">
        <v>4902</v>
      </c>
      <c r="H10" s="5" t="s">
        <v>1023</v>
      </c>
    </row>
    <row r="11" spans="1:8" ht="21" x14ac:dyDescent="0.7">
      <c r="A11" s="2">
        <v>10</v>
      </c>
      <c r="B11" s="8" t="s">
        <v>12</v>
      </c>
      <c r="C11" s="10" t="s">
        <v>1122</v>
      </c>
      <c r="D11" s="3"/>
      <c r="E11" s="3">
        <v>1</v>
      </c>
      <c r="F11" s="3">
        <f t="shared" si="1"/>
        <v>48</v>
      </c>
      <c r="G11" s="3">
        <v>5087</v>
      </c>
      <c r="H11" s="5" t="s">
        <v>1124</v>
      </c>
    </row>
    <row r="12" spans="1:8" ht="21" x14ac:dyDescent="0.7">
      <c r="A12" s="2">
        <v>11</v>
      </c>
      <c r="B12" s="8" t="s">
        <v>12</v>
      </c>
      <c r="C12" s="10" t="s">
        <v>1137</v>
      </c>
      <c r="D12" s="3"/>
      <c r="E12" s="3">
        <v>8</v>
      </c>
      <c r="F12" s="3">
        <f t="shared" si="1"/>
        <v>40</v>
      </c>
      <c r="G12" s="3" t="s">
        <v>1138</v>
      </c>
      <c r="H12" s="5" t="s">
        <v>55</v>
      </c>
    </row>
    <row r="13" spans="1:8" ht="21" x14ac:dyDescent="0.7">
      <c r="A13" s="2">
        <v>12</v>
      </c>
      <c r="B13" s="8" t="s">
        <v>12</v>
      </c>
      <c r="C13" s="10" t="s">
        <v>1137</v>
      </c>
      <c r="D13" s="3"/>
      <c r="E13" s="3">
        <v>8</v>
      </c>
      <c r="F13" s="3">
        <f t="shared" si="1"/>
        <v>32</v>
      </c>
      <c r="G13" s="3" t="s">
        <v>1139</v>
      </c>
      <c r="H13" s="5" t="s">
        <v>55</v>
      </c>
    </row>
    <row r="14" spans="1:8" ht="21" x14ac:dyDescent="0.7">
      <c r="A14" s="2">
        <v>13</v>
      </c>
      <c r="B14" s="8" t="s">
        <v>12</v>
      </c>
      <c r="C14" s="10" t="s">
        <v>1137</v>
      </c>
      <c r="D14" s="3"/>
      <c r="E14" s="3">
        <v>8</v>
      </c>
      <c r="F14" s="3">
        <f t="shared" si="1"/>
        <v>24</v>
      </c>
      <c r="G14" s="3" t="s">
        <v>1140</v>
      </c>
      <c r="H14" s="5" t="s">
        <v>55</v>
      </c>
    </row>
    <row r="15" spans="1:8" ht="21" x14ac:dyDescent="0.7">
      <c r="A15" s="2">
        <v>14</v>
      </c>
      <c r="B15" s="8" t="s">
        <v>12</v>
      </c>
      <c r="C15" s="10" t="s">
        <v>1154</v>
      </c>
      <c r="D15" s="3"/>
      <c r="E15" s="3">
        <v>24</v>
      </c>
      <c r="F15" s="3">
        <f>F14-E15</f>
        <v>0</v>
      </c>
      <c r="G15" s="3" t="s">
        <v>1155</v>
      </c>
      <c r="H15" s="5" t="s">
        <v>55</v>
      </c>
    </row>
    <row r="16" spans="1:8" ht="21" x14ac:dyDescent="0.7">
      <c r="A16" s="2">
        <v>15</v>
      </c>
      <c r="B16" s="8" t="s">
        <v>12</v>
      </c>
      <c r="C16" s="10"/>
      <c r="D16" s="3"/>
      <c r="E16" s="3"/>
      <c r="F16" s="3"/>
      <c r="G16" s="3"/>
      <c r="H16" s="5"/>
    </row>
    <row r="17" spans="1:8" ht="21" x14ac:dyDescent="0.7">
      <c r="A17" s="2">
        <v>16</v>
      </c>
      <c r="B17" s="8" t="s">
        <v>12</v>
      </c>
      <c r="C17" s="10"/>
      <c r="D17" s="3"/>
      <c r="E17" s="3"/>
      <c r="F17" s="3"/>
      <c r="G17" s="3"/>
      <c r="H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H6"/>
  <sheetViews>
    <sheetView rightToLeft="1" zoomScale="115" zoomScaleNormal="115" workbookViewId="0">
      <selection activeCell="H3" sqref="H3"/>
    </sheetView>
  </sheetViews>
  <sheetFormatPr defaultRowHeight="14.4" x14ac:dyDescent="0.3"/>
  <cols>
    <col min="2" max="2" width="12.44140625" bestFit="1" customWidth="1"/>
    <col min="7" max="7" width="11.88671875" bestFit="1" customWidth="1"/>
    <col min="8" max="8" width="25.3320312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0.25" customHeight="1" x14ac:dyDescent="0.3">
      <c r="A2" s="2">
        <v>1</v>
      </c>
      <c r="B2" s="8" t="s">
        <v>337</v>
      </c>
      <c r="C2" s="10"/>
      <c r="D2" s="3">
        <v>20</v>
      </c>
      <c r="E2" s="3"/>
      <c r="F2" s="3">
        <v>20</v>
      </c>
      <c r="G2" s="3"/>
      <c r="H2" s="14" t="s">
        <v>338</v>
      </c>
    </row>
    <row r="3" spans="1:8" ht="21" x14ac:dyDescent="0.7">
      <c r="A3" s="2">
        <v>2</v>
      </c>
      <c r="B3" s="8" t="s">
        <v>337</v>
      </c>
      <c r="C3" s="10" t="s">
        <v>596</v>
      </c>
      <c r="D3" s="3"/>
      <c r="E3" s="3">
        <v>20</v>
      </c>
      <c r="F3" s="3">
        <f>F2-E3</f>
        <v>0</v>
      </c>
      <c r="G3" s="3">
        <v>4318</v>
      </c>
      <c r="H3" s="5" t="s">
        <v>598</v>
      </c>
    </row>
    <row r="4" spans="1:8" ht="21" x14ac:dyDescent="0.7">
      <c r="A4" s="2"/>
      <c r="B4" s="8"/>
      <c r="C4" s="10"/>
      <c r="D4" s="3"/>
      <c r="E4" s="3"/>
      <c r="F4" s="3"/>
      <c r="G4" s="3"/>
      <c r="H4" s="5"/>
    </row>
    <row r="5" spans="1:8" ht="21" x14ac:dyDescent="0.7">
      <c r="A5" s="2"/>
      <c r="B5" s="8"/>
      <c r="C5" s="10"/>
      <c r="D5" s="3"/>
      <c r="E5" s="3"/>
      <c r="F5" s="3"/>
      <c r="G5" s="3"/>
      <c r="H5" s="5"/>
    </row>
    <row r="6" spans="1:8" ht="21" x14ac:dyDescent="0.7">
      <c r="A6" s="2"/>
      <c r="B6" s="8"/>
      <c r="C6" s="10"/>
      <c r="D6" s="3"/>
      <c r="E6" s="3"/>
      <c r="F6" s="3"/>
      <c r="G6" s="3"/>
      <c r="H6" s="5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72"/>
  <sheetViews>
    <sheetView rightToLeft="1" zoomScale="130" zoomScaleNormal="130" workbookViewId="0">
      <pane ySplit="1" topLeftCell="A61" activePane="bottomLeft" state="frozen"/>
      <selection pane="bottomLeft" activeCell="G66" sqref="G66"/>
    </sheetView>
  </sheetViews>
  <sheetFormatPr defaultRowHeight="14.4" x14ac:dyDescent="0.3"/>
  <cols>
    <col min="2" max="2" width="12.44140625" bestFit="1" customWidth="1"/>
    <col min="3" max="3" width="10.88671875" bestFit="1" customWidth="1"/>
    <col min="7" max="7" width="11.88671875" bestFit="1" customWidth="1"/>
    <col min="8" max="8" width="18.6640625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1" x14ac:dyDescent="0.7">
      <c r="A2" s="2">
        <v>1</v>
      </c>
      <c r="B2" s="8" t="s">
        <v>13</v>
      </c>
      <c r="C2" s="10" t="s">
        <v>42</v>
      </c>
      <c r="D2" s="3"/>
      <c r="E2" s="3">
        <v>1</v>
      </c>
      <c r="F2" s="3">
        <v>320</v>
      </c>
      <c r="G2" s="3">
        <v>3630</v>
      </c>
      <c r="H2" s="5" t="s">
        <v>46</v>
      </c>
    </row>
    <row r="3" spans="1:9" ht="21" x14ac:dyDescent="0.7">
      <c r="A3" s="2">
        <v>2</v>
      </c>
      <c r="B3" s="8" t="s">
        <v>13</v>
      </c>
      <c r="C3" s="10" t="s">
        <v>108</v>
      </c>
      <c r="D3" s="3"/>
      <c r="E3" s="3">
        <v>2</v>
      </c>
      <c r="F3" s="3">
        <f>F2-E3</f>
        <v>318</v>
      </c>
      <c r="G3" s="3" t="s">
        <v>109</v>
      </c>
      <c r="H3" s="5" t="s">
        <v>49</v>
      </c>
    </row>
    <row r="4" spans="1:9" ht="20.25" customHeight="1" x14ac:dyDescent="0.3">
      <c r="A4" s="2">
        <v>3</v>
      </c>
      <c r="B4" s="8"/>
      <c r="C4" s="10"/>
      <c r="D4" s="3"/>
      <c r="E4" s="3">
        <v>1</v>
      </c>
      <c r="F4" s="3">
        <f>F3-E4</f>
        <v>317</v>
      </c>
      <c r="G4" s="46" t="s">
        <v>194</v>
      </c>
      <c r="H4" s="47"/>
    </row>
    <row r="5" spans="1:9" ht="21" x14ac:dyDescent="0.7">
      <c r="A5" s="2">
        <v>4</v>
      </c>
      <c r="B5" s="8" t="s">
        <v>13</v>
      </c>
      <c r="C5" s="10" t="s">
        <v>145</v>
      </c>
      <c r="D5" s="3"/>
      <c r="E5" s="3">
        <v>2</v>
      </c>
      <c r="F5" s="3">
        <f>F4-E5</f>
        <v>315</v>
      </c>
      <c r="G5" s="3" t="s">
        <v>146</v>
      </c>
      <c r="H5" s="5" t="s">
        <v>55</v>
      </c>
    </row>
    <row r="6" spans="1:9" ht="21" x14ac:dyDescent="0.7">
      <c r="A6" s="2">
        <v>5</v>
      </c>
      <c r="B6" s="8" t="s">
        <v>13</v>
      </c>
      <c r="C6" s="10" t="s">
        <v>179</v>
      </c>
      <c r="D6" s="3"/>
      <c r="E6" s="3">
        <v>1</v>
      </c>
      <c r="F6" s="3">
        <f>F5-E6</f>
        <v>314</v>
      </c>
      <c r="G6" s="3" t="s">
        <v>180</v>
      </c>
      <c r="H6" s="5" t="s">
        <v>55</v>
      </c>
    </row>
    <row r="7" spans="1:9" ht="21" x14ac:dyDescent="0.7">
      <c r="A7" s="2">
        <v>6</v>
      </c>
      <c r="B7" s="8" t="s">
        <v>13</v>
      </c>
      <c r="C7" s="10" t="s">
        <v>181</v>
      </c>
      <c r="D7" s="3"/>
      <c r="E7" s="3">
        <v>1</v>
      </c>
      <c r="F7" s="3">
        <f>F6-E7</f>
        <v>313</v>
      </c>
      <c r="G7" s="3" t="s">
        <v>182</v>
      </c>
      <c r="H7" s="5" t="s">
        <v>55</v>
      </c>
    </row>
    <row r="8" spans="1:9" ht="21" x14ac:dyDescent="0.7">
      <c r="A8" s="2">
        <v>7</v>
      </c>
      <c r="B8" s="8" t="s">
        <v>13</v>
      </c>
      <c r="C8" s="10" t="s">
        <v>181</v>
      </c>
      <c r="D8" s="3">
        <v>1</v>
      </c>
      <c r="E8" s="3"/>
      <c r="F8" s="3">
        <f>F7+D8</f>
        <v>314</v>
      </c>
      <c r="G8" s="3" t="s">
        <v>182</v>
      </c>
      <c r="H8" s="5" t="s">
        <v>55</v>
      </c>
      <c r="I8" t="s">
        <v>199</v>
      </c>
    </row>
    <row r="9" spans="1:9" ht="21" x14ac:dyDescent="0.7">
      <c r="A9" s="2">
        <v>8</v>
      </c>
      <c r="B9" s="8" t="s">
        <v>13</v>
      </c>
      <c r="C9" s="10" t="s">
        <v>211</v>
      </c>
      <c r="D9" s="3"/>
      <c r="E9" s="3">
        <v>6</v>
      </c>
      <c r="F9" s="3">
        <f t="shared" ref="F9:F14" si="0">F8-E9</f>
        <v>308</v>
      </c>
      <c r="G9" s="3" t="s">
        <v>212</v>
      </c>
      <c r="H9" s="5" t="s">
        <v>55</v>
      </c>
    </row>
    <row r="10" spans="1:9" ht="21" x14ac:dyDescent="0.7">
      <c r="A10" s="2">
        <v>9</v>
      </c>
      <c r="B10" s="8" t="s">
        <v>13</v>
      </c>
      <c r="C10" s="10" t="s">
        <v>216</v>
      </c>
      <c r="D10" s="3"/>
      <c r="E10" s="3">
        <v>5</v>
      </c>
      <c r="F10" s="3">
        <f t="shared" si="0"/>
        <v>303</v>
      </c>
      <c r="G10" s="3" t="s">
        <v>215</v>
      </c>
      <c r="H10" s="5" t="s">
        <v>55</v>
      </c>
    </row>
    <row r="11" spans="1:9" ht="21" x14ac:dyDescent="0.7">
      <c r="A11" s="2">
        <v>10</v>
      </c>
      <c r="B11" s="8" t="s">
        <v>13</v>
      </c>
      <c r="C11" s="10" t="s">
        <v>276</v>
      </c>
      <c r="D11" s="3"/>
      <c r="E11" s="3">
        <v>1</v>
      </c>
      <c r="F11" s="3">
        <f t="shared" si="0"/>
        <v>302</v>
      </c>
      <c r="G11" s="3" t="s">
        <v>278</v>
      </c>
      <c r="H11" s="5" t="s">
        <v>55</v>
      </c>
    </row>
    <row r="12" spans="1:9" ht="21" x14ac:dyDescent="0.7">
      <c r="A12" s="2">
        <v>11</v>
      </c>
      <c r="B12" s="8" t="s">
        <v>13</v>
      </c>
      <c r="C12" s="10" t="s">
        <v>293</v>
      </c>
      <c r="D12" s="3"/>
      <c r="E12" s="3">
        <v>1</v>
      </c>
      <c r="F12" s="3">
        <f t="shared" si="0"/>
        <v>301</v>
      </c>
      <c r="G12" s="3" t="s">
        <v>294</v>
      </c>
      <c r="H12" s="5" t="s">
        <v>55</v>
      </c>
    </row>
    <row r="13" spans="1:9" ht="21" x14ac:dyDescent="0.7">
      <c r="A13" s="2">
        <v>12</v>
      </c>
      <c r="B13" s="8" t="s">
        <v>13</v>
      </c>
      <c r="C13" s="10" t="s">
        <v>297</v>
      </c>
      <c r="D13" s="3"/>
      <c r="E13" s="3">
        <v>1</v>
      </c>
      <c r="F13" s="3">
        <f t="shared" si="0"/>
        <v>300</v>
      </c>
      <c r="G13" s="3" t="s">
        <v>298</v>
      </c>
      <c r="H13" s="5" t="s">
        <v>55</v>
      </c>
    </row>
    <row r="14" spans="1:9" ht="21" x14ac:dyDescent="0.7">
      <c r="A14" s="2">
        <v>13</v>
      </c>
      <c r="B14" s="8" t="s">
        <v>13</v>
      </c>
      <c r="C14" s="10" t="s">
        <v>307</v>
      </c>
      <c r="D14" s="3"/>
      <c r="E14" s="3">
        <v>1</v>
      </c>
      <c r="F14" s="3">
        <f t="shared" si="0"/>
        <v>299</v>
      </c>
      <c r="G14" s="3" t="s">
        <v>309</v>
      </c>
      <c r="H14" s="5" t="s">
        <v>55</v>
      </c>
    </row>
    <row r="15" spans="1:9" ht="21" x14ac:dyDescent="0.7">
      <c r="A15" s="2">
        <v>14</v>
      </c>
      <c r="B15" s="8" t="s">
        <v>13</v>
      </c>
      <c r="C15" s="10" t="s">
        <v>328</v>
      </c>
      <c r="D15" s="3"/>
      <c r="E15" s="3">
        <v>1</v>
      </c>
      <c r="F15" s="3">
        <f t="shared" ref="F15:F20" si="1">F14-E15</f>
        <v>298</v>
      </c>
      <c r="G15" s="3" t="s">
        <v>329</v>
      </c>
      <c r="H15" s="5" t="s">
        <v>55</v>
      </c>
    </row>
    <row r="16" spans="1:9" ht="21" x14ac:dyDescent="0.7">
      <c r="A16" s="2">
        <v>15</v>
      </c>
      <c r="B16" s="8" t="s">
        <v>13</v>
      </c>
      <c r="C16" s="10" t="s">
        <v>401</v>
      </c>
      <c r="D16" s="3"/>
      <c r="E16" s="3">
        <v>1</v>
      </c>
      <c r="F16" s="3">
        <f t="shared" si="1"/>
        <v>297</v>
      </c>
      <c r="G16" s="3" t="s">
        <v>402</v>
      </c>
      <c r="H16" s="5" t="s">
        <v>55</v>
      </c>
    </row>
    <row r="17" spans="1:8" ht="21" x14ac:dyDescent="0.7">
      <c r="A17" s="2">
        <v>16</v>
      </c>
      <c r="B17" s="8" t="s">
        <v>13</v>
      </c>
      <c r="C17" s="10" t="s">
        <v>418</v>
      </c>
      <c r="D17" s="3"/>
      <c r="E17" s="3">
        <v>1</v>
      </c>
      <c r="F17" s="3">
        <f t="shared" si="1"/>
        <v>296</v>
      </c>
      <c r="G17" s="3" t="s">
        <v>419</v>
      </c>
      <c r="H17" s="5" t="s">
        <v>55</v>
      </c>
    </row>
    <row r="18" spans="1:8" ht="21" x14ac:dyDescent="0.7">
      <c r="A18" s="2">
        <v>17</v>
      </c>
      <c r="B18" s="8" t="s">
        <v>13</v>
      </c>
      <c r="C18" s="10" t="s">
        <v>424</v>
      </c>
      <c r="D18" s="3"/>
      <c r="E18" s="3">
        <v>1</v>
      </c>
      <c r="F18" s="3">
        <f t="shared" si="1"/>
        <v>295</v>
      </c>
      <c r="G18" s="3" t="s">
        <v>425</v>
      </c>
      <c r="H18" s="5" t="s">
        <v>55</v>
      </c>
    </row>
    <row r="19" spans="1:8" ht="21" x14ac:dyDescent="0.7">
      <c r="A19" s="2">
        <v>18</v>
      </c>
      <c r="B19" s="8" t="s">
        <v>13</v>
      </c>
      <c r="C19" s="10" t="s">
        <v>474</v>
      </c>
      <c r="D19" s="3"/>
      <c r="E19" s="3">
        <v>1</v>
      </c>
      <c r="F19" s="3">
        <f t="shared" si="1"/>
        <v>294</v>
      </c>
      <c r="G19" s="3" t="s">
        <v>475</v>
      </c>
      <c r="H19" s="5" t="s">
        <v>55</v>
      </c>
    </row>
    <row r="20" spans="1:8" ht="21" x14ac:dyDescent="0.7">
      <c r="A20" s="2">
        <v>19</v>
      </c>
      <c r="B20" s="8" t="s">
        <v>13</v>
      </c>
      <c r="C20" s="10" t="s">
        <v>529</v>
      </c>
      <c r="D20" s="3"/>
      <c r="E20" s="3">
        <v>2</v>
      </c>
      <c r="F20" s="3">
        <f t="shared" si="1"/>
        <v>292</v>
      </c>
      <c r="G20" s="3" t="s">
        <v>530</v>
      </c>
      <c r="H20" s="5" t="s">
        <v>55</v>
      </c>
    </row>
    <row r="21" spans="1:8" ht="21" x14ac:dyDescent="0.7">
      <c r="A21" s="2">
        <v>20</v>
      </c>
      <c r="B21" s="8" t="s">
        <v>13</v>
      </c>
      <c r="C21" s="10" t="s">
        <v>560</v>
      </c>
      <c r="D21" s="3"/>
      <c r="E21" s="3">
        <v>1</v>
      </c>
      <c r="F21" s="3">
        <f t="shared" ref="F21:F26" si="2">F20-E21</f>
        <v>291</v>
      </c>
      <c r="G21" s="3">
        <v>4276</v>
      </c>
      <c r="H21" s="5" t="s">
        <v>66</v>
      </c>
    </row>
    <row r="22" spans="1:8" ht="21" x14ac:dyDescent="0.7">
      <c r="A22" s="2">
        <v>21</v>
      </c>
      <c r="B22" s="8" t="s">
        <v>13</v>
      </c>
      <c r="C22" s="10" t="s">
        <v>576</v>
      </c>
      <c r="D22" s="3"/>
      <c r="E22" s="3">
        <v>1</v>
      </c>
      <c r="F22" s="3">
        <f t="shared" si="2"/>
        <v>290</v>
      </c>
      <c r="G22" s="3" t="s">
        <v>577</v>
      </c>
      <c r="H22" s="5" t="s">
        <v>578</v>
      </c>
    </row>
    <row r="23" spans="1:8" ht="21" x14ac:dyDescent="0.7">
      <c r="A23" s="2">
        <v>22</v>
      </c>
      <c r="B23" s="8" t="s">
        <v>13</v>
      </c>
      <c r="C23" s="10" t="s">
        <v>587</v>
      </c>
      <c r="D23" s="3"/>
      <c r="E23" s="3">
        <v>2</v>
      </c>
      <c r="F23" s="3">
        <f t="shared" si="2"/>
        <v>288</v>
      </c>
      <c r="G23" s="3" t="s">
        <v>588</v>
      </c>
      <c r="H23" s="5" t="s">
        <v>55</v>
      </c>
    </row>
    <row r="24" spans="1:8" ht="21" x14ac:dyDescent="0.7">
      <c r="A24" s="2">
        <v>23</v>
      </c>
      <c r="B24" s="8" t="s">
        <v>13</v>
      </c>
      <c r="C24" s="10" t="s">
        <v>635</v>
      </c>
      <c r="D24" s="3"/>
      <c r="E24" s="3">
        <v>2</v>
      </c>
      <c r="F24" s="3">
        <f t="shared" si="2"/>
        <v>286</v>
      </c>
      <c r="G24" s="3" t="s">
        <v>636</v>
      </c>
      <c r="H24" s="5" t="s">
        <v>578</v>
      </c>
    </row>
    <row r="25" spans="1:8" ht="21" x14ac:dyDescent="0.7">
      <c r="A25" s="2">
        <v>24</v>
      </c>
      <c r="B25" s="8" t="s">
        <v>13</v>
      </c>
      <c r="C25" s="10" t="s">
        <v>644</v>
      </c>
      <c r="D25" s="3"/>
      <c r="E25" s="3">
        <v>2</v>
      </c>
      <c r="F25" s="3">
        <f t="shared" si="2"/>
        <v>284</v>
      </c>
      <c r="G25" s="3" t="s">
        <v>645</v>
      </c>
      <c r="H25" s="5" t="s">
        <v>55</v>
      </c>
    </row>
    <row r="26" spans="1:8" ht="21" x14ac:dyDescent="0.7">
      <c r="A26" s="2">
        <v>25</v>
      </c>
      <c r="B26" s="8" t="s">
        <v>13</v>
      </c>
      <c r="C26" s="10" t="s">
        <v>722</v>
      </c>
      <c r="D26" s="3"/>
      <c r="E26" s="3">
        <v>2</v>
      </c>
      <c r="F26" s="3">
        <f t="shared" si="2"/>
        <v>282</v>
      </c>
      <c r="G26" s="3" t="s">
        <v>723</v>
      </c>
      <c r="H26" s="5" t="s">
        <v>55</v>
      </c>
    </row>
    <row r="27" spans="1:8" ht="21" x14ac:dyDescent="0.7">
      <c r="A27" s="2">
        <v>26</v>
      </c>
      <c r="B27" s="8" t="s">
        <v>13</v>
      </c>
      <c r="C27" s="10" t="s">
        <v>814</v>
      </c>
      <c r="D27" s="3"/>
      <c r="E27" s="3">
        <v>1</v>
      </c>
      <c r="F27" s="3">
        <f t="shared" ref="F27:F32" si="3">F26-E27</f>
        <v>281</v>
      </c>
      <c r="G27" s="3" t="s">
        <v>816</v>
      </c>
      <c r="H27" s="5" t="s">
        <v>578</v>
      </c>
    </row>
    <row r="28" spans="1:8" ht="21" x14ac:dyDescent="0.7">
      <c r="A28" s="2">
        <v>27</v>
      </c>
      <c r="B28" s="8" t="s">
        <v>13</v>
      </c>
      <c r="C28" s="10" t="s">
        <v>837</v>
      </c>
      <c r="D28" s="3"/>
      <c r="E28" s="3">
        <v>1</v>
      </c>
      <c r="F28" s="3">
        <f t="shared" si="3"/>
        <v>280</v>
      </c>
      <c r="G28" s="3" t="s">
        <v>838</v>
      </c>
      <c r="H28" s="5" t="s">
        <v>55</v>
      </c>
    </row>
    <row r="29" spans="1:8" ht="21" x14ac:dyDescent="0.7">
      <c r="A29" s="2">
        <v>28</v>
      </c>
      <c r="B29" s="8" t="s">
        <v>13</v>
      </c>
      <c r="C29" s="10" t="s">
        <v>851</v>
      </c>
      <c r="D29" s="3"/>
      <c r="E29" s="3">
        <v>1</v>
      </c>
      <c r="F29" s="3">
        <f t="shared" si="3"/>
        <v>279</v>
      </c>
      <c r="G29" s="3" t="s">
        <v>852</v>
      </c>
      <c r="H29" s="5" t="s">
        <v>55</v>
      </c>
    </row>
    <row r="30" spans="1:8" ht="21" x14ac:dyDescent="0.7">
      <c r="A30" s="2">
        <v>29</v>
      </c>
      <c r="B30" s="8" t="s">
        <v>13</v>
      </c>
      <c r="C30" s="10" t="s">
        <v>986</v>
      </c>
      <c r="D30" s="3"/>
      <c r="E30" s="3">
        <v>1</v>
      </c>
      <c r="F30" s="3">
        <f t="shared" si="3"/>
        <v>278</v>
      </c>
      <c r="G30" s="3" t="s">
        <v>987</v>
      </c>
      <c r="H30" s="5" t="s">
        <v>49</v>
      </c>
    </row>
    <row r="31" spans="1:8" ht="21" x14ac:dyDescent="0.7">
      <c r="A31" s="2">
        <v>30</v>
      </c>
      <c r="B31" s="8" t="s">
        <v>13</v>
      </c>
      <c r="C31" s="10" t="s">
        <v>1133</v>
      </c>
      <c r="D31" s="3"/>
      <c r="E31" s="3">
        <v>1</v>
      </c>
      <c r="F31" s="3">
        <f t="shared" si="3"/>
        <v>277</v>
      </c>
      <c r="G31" s="3" t="s">
        <v>1134</v>
      </c>
      <c r="H31" s="5" t="s">
        <v>55</v>
      </c>
    </row>
    <row r="32" spans="1:8" ht="21" x14ac:dyDescent="0.7">
      <c r="A32" s="2">
        <v>31</v>
      </c>
      <c r="B32" s="8" t="s">
        <v>13</v>
      </c>
      <c r="C32" s="10" t="s">
        <v>1133</v>
      </c>
      <c r="D32" s="3"/>
      <c r="E32" s="3">
        <v>8</v>
      </c>
      <c r="F32" s="3">
        <f t="shared" si="3"/>
        <v>269</v>
      </c>
      <c r="G32" s="3">
        <v>5097</v>
      </c>
      <c r="H32" s="5" t="s">
        <v>434</v>
      </c>
    </row>
    <row r="33" spans="1:8" ht="21" x14ac:dyDescent="0.7">
      <c r="A33" s="2">
        <v>32</v>
      </c>
      <c r="B33" s="8" t="s">
        <v>13</v>
      </c>
      <c r="C33" s="10" t="s">
        <v>1148</v>
      </c>
      <c r="D33" s="3"/>
      <c r="E33" s="3">
        <v>3</v>
      </c>
      <c r="F33" s="3">
        <f t="shared" ref="F33:F38" si="4">F32-E33</f>
        <v>266</v>
      </c>
      <c r="G33" s="3" t="s">
        <v>1149</v>
      </c>
      <c r="H33" s="5" t="s">
        <v>49</v>
      </c>
    </row>
    <row r="34" spans="1:8" ht="21" x14ac:dyDescent="0.7">
      <c r="A34" s="2">
        <v>33</v>
      </c>
      <c r="B34" s="8" t="s">
        <v>13</v>
      </c>
      <c r="C34" s="10" t="s">
        <v>1150</v>
      </c>
      <c r="D34" s="3"/>
      <c r="E34" s="3">
        <v>8</v>
      </c>
      <c r="F34" s="3">
        <f t="shared" si="4"/>
        <v>258</v>
      </c>
      <c r="G34" s="3">
        <v>5107</v>
      </c>
      <c r="H34" s="5" t="s">
        <v>434</v>
      </c>
    </row>
    <row r="35" spans="1:8" ht="21" x14ac:dyDescent="0.7">
      <c r="A35" s="2">
        <v>34</v>
      </c>
      <c r="B35" s="8" t="s">
        <v>13</v>
      </c>
      <c r="C35" s="10" t="s">
        <v>1150</v>
      </c>
      <c r="D35" s="3"/>
      <c r="E35" s="3">
        <v>3</v>
      </c>
      <c r="F35" s="3">
        <f t="shared" si="4"/>
        <v>255</v>
      </c>
      <c r="G35" s="3">
        <v>5105</v>
      </c>
      <c r="H35" s="5" t="s">
        <v>149</v>
      </c>
    </row>
    <row r="36" spans="1:8" ht="21" x14ac:dyDescent="0.7">
      <c r="A36" s="2">
        <v>35</v>
      </c>
      <c r="B36" s="8" t="s">
        <v>13</v>
      </c>
      <c r="C36" s="10" t="s">
        <v>1150</v>
      </c>
      <c r="D36" s="3"/>
      <c r="E36" s="3">
        <v>6</v>
      </c>
      <c r="F36" s="3">
        <f t="shared" si="4"/>
        <v>249</v>
      </c>
      <c r="G36" s="3">
        <v>5106</v>
      </c>
      <c r="H36" s="5" t="s">
        <v>132</v>
      </c>
    </row>
    <row r="37" spans="1:8" ht="21" x14ac:dyDescent="0.7">
      <c r="A37" s="2">
        <v>36</v>
      </c>
      <c r="B37" s="8" t="s">
        <v>13</v>
      </c>
      <c r="C37" s="10" t="s">
        <v>1158</v>
      </c>
      <c r="D37" s="3"/>
      <c r="E37" s="3">
        <v>8</v>
      </c>
      <c r="F37" s="3">
        <f t="shared" si="4"/>
        <v>241</v>
      </c>
      <c r="G37" s="3">
        <v>5124</v>
      </c>
      <c r="H37" s="5" t="s">
        <v>132</v>
      </c>
    </row>
    <row r="38" spans="1:8" ht="21" x14ac:dyDescent="0.7">
      <c r="A38" s="2">
        <v>37</v>
      </c>
      <c r="B38" s="8" t="s">
        <v>13</v>
      </c>
      <c r="C38" s="10" t="s">
        <v>1177</v>
      </c>
      <c r="D38" s="3"/>
      <c r="E38" s="3">
        <v>1</v>
      </c>
      <c r="F38" s="3">
        <f t="shared" si="4"/>
        <v>240</v>
      </c>
      <c r="G38" s="3" t="s">
        <v>1178</v>
      </c>
      <c r="H38" s="5" t="s">
        <v>55</v>
      </c>
    </row>
    <row r="39" spans="1:8" ht="21" x14ac:dyDescent="0.7">
      <c r="A39" s="2">
        <v>38</v>
      </c>
      <c r="B39" s="8" t="s">
        <v>13</v>
      </c>
      <c r="C39" s="10" t="s">
        <v>1185</v>
      </c>
      <c r="D39" s="3"/>
      <c r="E39" s="3">
        <v>40</v>
      </c>
      <c r="F39" s="3">
        <f t="shared" ref="F39:F44" si="5">F38-E39</f>
        <v>200</v>
      </c>
      <c r="G39" s="3">
        <v>5153</v>
      </c>
      <c r="H39" s="5" t="s">
        <v>1187</v>
      </c>
    </row>
    <row r="40" spans="1:8" ht="21" x14ac:dyDescent="0.7">
      <c r="A40" s="2">
        <v>39</v>
      </c>
      <c r="B40" s="8" t="s">
        <v>13</v>
      </c>
      <c r="C40" s="10" t="s">
        <v>1195</v>
      </c>
      <c r="D40" s="3"/>
      <c r="E40" s="3">
        <v>4</v>
      </c>
      <c r="F40" s="3">
        <f t="shared" si="5"/>
        <v>196</v>
      </c>
      <c r="G40" s="3">
        <v>5160</v>
      </c>
      <c r="H40" s="5" t="s">
        <v>434</v>
      </c>
    </row>
    <row r="41" spans="1:8" ht="21" x14ac:dyDescent="0.7">
      <c r="A41" s="2">
        <v>40</v>
      </c>
      <c r="B41" s="8" t="s">
        <v>13</v>
      </c>
      <c r="C41" s="10" t="s">
        <v>1202</v>
      </c>
      <c r="D41" s="3"/>
      <c r="E41" s="3">
        <v>100</v>
      </c>
      <c r="F41" s="3">
        <f t="shared" si="5"/>
        <v>96</v>
      </c>
      <c r="G41" s="3">
        <v>5178</v>
      </c>
      <c r="H41" s="5" t="s">
        <v>598</v>
      </c>
    </row>
    <row r="42" spans="1:8" ht="21" x14ac:dyDescent="0.7">
      <c r="A42" s="2">
        <v>41</v>
      </c>
      <c r="B42" s="8" t="s">
        <v>13</v>
      </c>
      <c r="C42" s="10" t="s">
        <v>1209</v>
      </c>
      <c r="D42" s="3"/>
      <c r="E42" s="3">
        <v>4</v>
      </c>
      <c r="F42" s="3">
        <f t="shared" si="5"/>
        <v>92</v>
      </c>
      <c r="G42" s="3">
        <v>5181</v>
      </c>
      <c r="H42" s="5" t="s">
        <v>1096</v>
      </c>
    </row>
    <row r="43" spans="1:8" ht="21" x14ac:dyDescent="0.7">
      <c r="A43" s="2">
        <v>42</v>
      </c>
      <c r="B43" s="8" t="s">
        <v>13</v>
      </c>
      <c r="C43" s="10" t="s">
        <v>1209</v>
      </c>
      <c r="D43" s="3"/>
      <c r="E43" s="3">
        <v>12</v>
      </c>
      <c r="F43" s="3">
        <f t="shared" si="5"/>
        <v>80</v>
      </c>
      <c r="G43" s="3">
        <v>5180</v>
      </c>
      <c r="H43" s="5" t="s">
        <v>1187</v>
      </c>
    </row>
    <row r="44" spans="1:8" ht="21" x14ac:dyDescent="0.7">
      <c r="A44" s="2">
        <v>43</v>
      </c>
      <c r="B44" s="8" t="s">
        <v>13</v>
      </c>
      <c r="C44" s="10" t="s">
        <v>1219</v>
      </c>
      <c r="D44" s="3"/>
      <c r="E44" s="3">
        <v>79</v>
      </c>
      <c r="F44" s="3">
        <f t="shared" si="5"/>
        <v>1</v>
      </c>
      <c r="G44" s="3">
        <v>5193</v>
      </c>
      <c r="H44" s="5" t="s">
        <v>598</v>
      </c>
    </row>
    <row r="45" spans="1:8" ht="21" x14ac:dyDescent="0.7">
      <c r="A45" s="2">
        <v>44</v>
      </c>
      <c r="B45" s="8" t="s">
        <v>13</v>
      </c>
      <c r="C45" s="10"/>
      <c r="D45" s="3"/>
      <c r="E45" s="3"/>
      <c r="F45" s="3">
        <v>0</v>
      </c>
      <c r="G45" s="3"/>
      <c r="H45" s="5"/>
    </row>
    <row r="46" spans="1:8" ht="21" x14ac:dyDescent="0.7">
      <c r="A46" s="2">
        <v>45</v>
      </c>
      <c r="B46" s="8" t="s">
        <v>13</v>
      </c>
      <c r="C46" s="10" t="s">
        <v>1372</v>
      </c>
      <c r="D46" s="3">
        <v>24</v>
      </c>
      <c r="E46" s="3"/>
      <c r="F46" s="3">
        <v>24</v>
      </c>
      <c r="G46" s="3"/>
      <c r="H46" s="19" t="s">
        <v>1371</v>
      </c>
    </row>
    <row r="47" spans="1:8" ht="21" x14ac:dyDescent="0.7">
      <c r="A47" s="2">
        <v>46</v>
      </c>
      <c r="B47" s="8" t="s">
        <v>13</v>
      </c>
      <c r="C47" s="10" t="s">
        <v>1382</v>
      </c>
      <c r="D47" s="3"/>
      <c r="E47" s="3">
        <v>1</v>
      </c>
      <c r="F47" s="3">
        <f>F46-E47</f>
        <v>23</v>
      </c>
      <c r="G47" s="3">
        <v>5398</v>
      </c>
      <c r="H47" s="5" t="s">
        <v>1385</v>
      </c>
    </row>
    <row r="48" spans="1:8" ht="21" x14ac:dyDescent="0.7">
      <c r="A48" s="2">
        <v>47</v>
      </c>
      <c r="B48" s="8" t="s">
        <v>13</v>
      </c>
      <c r="C48" s="10" t="s">
        <v>1588</v>
      </c>
      <c r="D48" s="3"/>
      <c r="E48" s="3">
        <v>2</v>
      </c>
      <c r="F48" s="3">
        <f>F47-E48</f>
        <v>21</v>
      </c>
      <c r="G48" s="3">
        <v>5668</v>
      </c>
      <c r="H48" s="5" t="s">
        <v>1590</v>
      </c>
    </row>
    <row r="49" spans="1:9" ht="21" x14ac:dyDescent="0.7">
      <c r="A49" s="2">
        <v>48</v>
      </c>
      <c r="B49" s="8" t="s">
        <v>13</v>
      </c>
      <c r="C49" s="10" t="s">
        <v>1592</v>
      </c>
      <c r="D49" s="3"/>
      <c r="E49" s="3">
        <v>1</v>
      </c>
      <c r="F49" s="3">
        <f>F48-E49</f>
        <v>20</v>
      </c>
      <c r="G49" s="3">
        <v>5670</v>
      </c>
      <c r="H49" s="5" t="s">
        <v>933</v>
      </c>
    </row>
    <row r="50" spans="1:9" ht="21" x14ac:dyDescent="0.7">
      <c r="A50" s="2">
        <v>49</v>
      </c>
      <c r="B50" s="8" t="s">
        <v>13</v>
      </c>
      <c r="C50" s="10" t="s">
        <v>1626</v>
      </c>
      <c r="D50" s="3"/>
      <c r="E50" s="3">
        <v>1</v>
      </c>
      <c r="F50" s="3">
        <f>F49-E50</f>
        <v>19</v>
      </c>
      <c r="G50" s="3" t="s">
        <v>1627</v>
      </c>
      <c r="H50" s="5" t="s">
        <v>55</v>
      </c>
    </row>
    <row r="51" spans="1:9" ht="21" x14ac:dyDescent="0.7">
      <c r="A51" s="2">
        <v>50</v>
      </c>
      <c r="B51" s="8" t="s">
        <v>13</v>
      </c>
      <c r="C51" s="10" t="s">
        <v>1668</v>
      </c>
      <c r="D51" s="3"/>
      <c r="E51" s="3">
        <v>1</v>
      </c>
      <c r="F51" s="3">
        <f>F50-E51</f>
        <v>18</v>
      </c>
      <c r="G51" s="3" t="s">
        <v>1669</v>
      </c>
      <c r="H51" s="5" t="s">
        <v>55</v>
      </c>
    </row>
    <row r="52" spans="1:9" ht="21" x14ac:dyDescent="0.7">
      <c r="A52" s="2">
        <v>51</v>
      </c>
      <c r="B52" s="8" t="s">
        <v>13</v>
      </c>
      <c r="C52" s="10" t="s">
        <v>1708</v>
      </c>
      <c r="D52" s="3">
        <v>23</v>
      </c>
      <c r="E52" s="3"/>
      <c r="F52" s="3">
        <f>F51+D52</f>
        <v>41</v>
      </c>
      <c r="G52" s="3"/>
      <c r="H52" s="19" t="s">
        <v>1707</v>
      </c>
      <c r="I52" t="s">
        <v>1710</v>
      </c>
    </row>
    <row r="53" spans="1:9" ht="21" x14ac:dyDescent="0.7">
      <c r="A53" s="2">
        <v>52</v>
      </c>
      <c r="B53" s="8" t="s">
        <v>13</v>
      </c>
      <c r="C53" s="10" t="s">
        <v>1726</v>
      </c>
      <c r="D53" s="3"/>
      <c r="E53" s="3">
        <v>2</v>
      </c>
      <c r="F53" s="3">
        <f>F52-E53</f>
        <v>39</v>
      </c>
      <c r="G53" s="3" t="s">
        <v>1727</v>
      </c>
      <c r="H53" s="5" t="s">
        <v>55</v>
      </c>
    </row>
    <row r="54" spans="1:9" ht="21" x14ac:dyDescent="0.7">
      <c r="A54" s="2">
        <v>53</v>
      </c>
      <c r="B54" s="8" t="s">
        <v>13</v>
      </c>
      <c r="C54" s="10" t="s">
        <v>1731</v>
      </c>
      <c r="D54" s="3"/>
      <c r="E54" s="3">
        <v>15</v>
      </c>
      <c r="F54" s="3">
        <f>F53-E54</f>
        <v>24</v>
      </c>
      <c r="G54" s="3">
        <v>5887</v>
      </c>
      <c r="H54" s="5" t="s">
        <v>1732</v>
      </c>
    </row>
    <row r="55" spans="1:9" ht="21" x14ac:dyDescent="0.7">
      <c r="A55" s="2">
        <v>54</v>
      </c>
      <c r="B55" s="8" t="s">
        <v>13</v>
      </c>
      <c r="C55" s="10" t="s">
        <v>1740</v>
      </c>
      <c r="D55" s="3"/>
      <c r="E55" s="3">
        <v>1</v>
      </c>
      <c r="F55" s="3">
        <f>F54-E55</f>
        <v>23</v>
      </c>
      <c r="G55" s="3">
        <v>5906</v>
      </c>
      <c r="H55" s="5" t="s">
        <v>1741</v>
      </c>
    </row>
    <row r="56" spans="1:9" ht="21" x14ac:dyDescent="0.7">
      <c r="A56" s="2">
        <v>55</v>
      </c>
      <c r="B56" s="8" t="s">
        <v>13</v>
      </c>
      <c r="C56" s="10" t="s">
        <v>1757</v>
      </c>
      <c r="D56" s="3"/>
      <c r="E56" s="3">
        <v>1</v>
      </c>
      <c r="F56" s="3">
        <f>F55-E56</f>
        <v>22</v>
      </c>
      <c r="G56" s="3" t="s">
        <v>1758</v>
      </c>
      <c r="H56" s="5" t="s">
        <v>55</v>
      </c>
    </row>
    <row r="57" spans="1:9" ht="21" x14ac:dyDescent="0.7">
      <c r="A57" s="2">
        <v>56</v>
      </c>
      <c r="B57" s="8" t="s">
        <v>13</v>
      </c>
      <c r="C57" s="10" t="s">
        <v>1824</v>
      </c>
      <c r="D57" s="3"/>
      <c r="E57" s="3">
        <v>22</v>
      </c>
      <c r="F57" s="3">
        <f>F56-E57</f>
        <v>0</v>
      </c>
      <c r="G57" s="3">
        <v>6050</v>
      </c>
      <c r="H57" s="5" t="s">
        <v>1825</v>
      </c>
    </row>
    <row r="58" spans="1:9" ht="21" x14ac:dyDescent="0.7">
      <c r="A58" s="2">
        <v>57</v>
      </c>
      <c r="B58" s="8" t="s">
        <v>13</v>
      </c>
      <c r="C58" s="10" t="s">
        <v>2080</v>
      </c>
      <c r="D58" s="3">
        <v>15</v>
      </c>
      <c r="E58" s="3"/>
      <c r="F58" s="3">
        <v>15</v>
      </c>
      <c r="G58" s="3"/>
      <c r="H58" s="19" t="s">
        <v>2081</v>
      </c>
    </row>
    <row r="59" spans="1:9" ht="21" x14ac:dyDescent="0.7">
      <c r="A59" s="2">
        <v>58</v>
      </c>
      <c r="B59" s="8" t="s">
        <v>13</v>
      </c>
      <c r="C59" s="10" t="s">
        <v>2117</v>
      </c>
      <c r="D59" s="3"/>
      <c r="E59" s="3">
        <v>1</v>
      </c>
      <c r="F59" s="3">
        <f>F58-E59</f>
        <v>14</v>
      </c>
      <c r="G59" s="3" t="s">
        <v>2118</v>
      </c>
      <c r="H59" s="5" t="s">
        <v>55</v>
      </c>
    </row>
    <row r="60" spans="1:9" ht="21" x14ac:dyDescent="0.7">
      <c r="A60" s="2">
        <v>59</v>
      </c>
      <c r="B60" s="8" t="s">
        <v>13</v>
      </c>
      <c r="C60" s="10" t="s">
        <v>2224</v>
      </c>
      <c r="D60" s="3"/>
      <c r="E60" s="3">
        <v>1</v>
      </c>
      <c r="F60" s="3">
        <f>F59-E60</f>
        <v>13</v>
      </c>
      <c r="G60" s="3" t="s">
        <v>2225</v>
      </c>
      <c r="H60" s="5" t="s">
        <v>55</v>
      </c>
    </row>
    <row r="61" spans="1:9" ht="21" x14ac:dyDescent="0.7">
      <c r="A61" s="2">
        <v>60</v>
      </c>
      <c r="B61" s="8" t="s">
        <v>13</v>
      </c>
      <c r="C61" s="10" t="s">
        <v>2316</v>
      </c>
      <c r="D61" s="3"/>
      <c r="E61" s="3">
        <v>1</v>
      </c>
      <c r="F61" s="3">
        <f>F60-E61</f>
        <v>12</v>
      </c>
      <c r="G61" s="3" t="s">
        <v>2317</v>
      </c>
      <c r="H61" s="5" t="s">
        <v>55</v>
      </c>
    </row>
    <row r="62" spans="1:9" ht="21" x14ac:dyDescent="0.7">
      <c r="A62" s="2">
        <v>61</v>
      </c>
      <c r="B62" s="8" t="s">
        <v>13</v>
      </c>
      <c r="C62" s="10" t="s">
        <v>2461</v>
      </c>
      <c r="D62" s="3"/>
      <c r="E62" s="3">
        <v>6</v>
      </c>
      <c r="F62" s="3">
        <f>F61-E62</f>
        <v>6</v>
      </c>
      <c r="G62" s="3">
        <v>6986</v>
      </c>
      <c r="H62" s="5" t="s">
        <v>1675</v>
      </c>
    </row>
    <row r="63" spans="1:9" ht="21" x14ac:dyDescent="0.7">
      <c r="A63" s="2">
        <v>62</v>
      </c>
      <c r="B63" s="8" t="s">
        <v>13</v>
      </c>
      <c r="C63" s="10" t="s">
        <v>2464</v>
      </c>
      <c r="D63" s="3"/>
      <c r="E63" s="3">
        <v>6</v>
      </c>
      <c r="F63" s="3">
        <f>F62-E63</f>
        <v>0</v>
      </c>
      <c r="G63" s="3">
        <v>6987</v>
      </c>
      <c r="H63" s="5" t="s">
        <v>2465</v>
      </c>
    </row>
    <row r="64" spans="1:9" ht="21" x14ac:dyDescent="0.7">
      <c r="A64" s="2">
        <v>63</v>
      </c>
      <c r="B64" s="8" t="s">
        <v>13</v>
      </c>
      <c r="C64" s="10"/>
      <c r="D64" s="3"/>
      <c r="E64" s="3"/>
      <c r="F64" s="3"/>
      <c r="G64" s="3"/>
      <c r="H64" s="5"/>
    </row>
    <row r="65" spans="1:8" ht="21" x14ac:dyDescent="0.7">
      <c r="C65" s="31"/>
      <c r="D65" s="32"/>
      <c r="E65" s="32"/>
      <c r="F65" s="32"/>
      <c r="G65" s="32"/>
      <c r="H65" s="33"/>
    </row>
    <row r="66" spans="1:8" ht="21" x14ac:dyDescent="0.7">
      <c r="C66" s="31"/>
      <c r="D66" s="32"/>
      <c r="E66" s="32"/>
      <c r="F66" s="32"/>
      <c r="G66" s="32"/>
      <c r="H66" s="33"/>
    </row>
    <row r="67" spans="1:8" ht="21" x14ac:dyDescent="0.7">
      <c r="C67" s="31"/>
      <c r="D67" s="32"/>
      <c r="E67" s="32"/>
      <c r="F67" s="32"/>
      <c r="G67" s="32"/>
      <c r="H67" s="33"/>
    </row>
    <row r="68" spans="1:8" ht="21" x14ac:dyDescent="0.7">
      <c r="C68" s="31"/>
      <c r="D68" s="32"/>
      <c r="E68" s="32"/>
      <c r="F68" s="32"/>
      <c r="G68" s="32"/>
      <c r="H68" s="33"/>
    </row>
    <row r="71" spans="1:8" ht="21" x14ac:dyDescent="0.7">
      <c r="A71" s="2">
        <v>57</v>
      </c>
      <c r="B71" s="8" t="s">
        <v>2083</v>
      </c>
      <c r="C71" s="10" t="s">
        <v>2080</v>
      </c>
      <c r="D71" s="3">
        <v>3</v>
      </c>
      <c r="E71" s="3"/>
      <c r="F71" s="3">
        <v>3</v>
      </c>
      <c r="G71" s="3"/>
      <c r="H71" s="19" t="s">
        <v>2081</v>
      </c>
    </row>
    <row r="72" spans="1:8" ht="21" x14ac:dyDescent="0.7">
      <c r="A72" s="2"/>
      <c r="B72" s="8" t="s">
        <v>2083</v>
      </c>
      <c r="C72" s="10" t="s">
        <v>2373</v>
      </c>
      <c r="D72" s="3"/>
      <c r="E72" s="3">
        <v>3</v>
      </c>
      <c r="F72" s="3">
        <f>F71-E72</f>
        <v>0</v>
      </c>
      <c r="G72" s="3">
        <v>6847</v>
      </c>
      <c r="H72" s="5" t="s">
        <v>149</v>
      </c>
    </row>
  </sheetData>
  <mergeCells count="1">
    <mergeCell ref="G4:H4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H61"/>
  <sheetViews>
    <sheetView rightToLeft="1" zoomScale="110" zoomScaleNormal="110" workbookViewId="0">
      <pane ySplit="1" topLeftCell="A50" activePane="bottomLeft" state="frozen"/>
      <selection activeCell="E673" sqref="E673"/>
      <selection pane="bottomLeft" activeCell="G58" sqref="G58"/>
    </sheetView>
  </sheetViews>
  <sheetFormatPr defaultRowHeight="14.4" x14ac:dyDescent="0.3"/>
  <cols>
    <col min="2" max="2" width="10.44140625" bestFit="1" customWidth="1"/>
    <col min="3" max="3" width="10.88671875" bestFit="1" customWidth="1"/>
    <col min="7" max="7" width="11.33203125" customWidth="1"/>
    <col min="8" max="8" width="22.4414062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14</v>
      </c>
      <c r="C2" s="10" t="s">
        <v>42</v>
      </c>
      <c r="D2" s="3"/>
      <c r="E2" s="3">
        <v>1</v>
      </c>
      <c r="F2" s="3">
        <v>150</v>
      </c>
      <c r="G2" s="3">
        <v>3630</v>
      </c>
      <c r="H2" s="5" t="s">
        <v>46</v>
      </c>
    </row>
    <row r="3" spans="1:8" ht="21" x14ac:dyDescent="0.7">
      <c r="A3" s="2">
        <v>2</v>
      </c>
      <c r="B3" s="8" t="s">
        <v>14</v>
      </c>
      <c r="C3" s="10" t="s">
        <v>135</v>
      </c>
      <c r="D3" s="3"/>
      <c r="E3" s="3">
        <v>1</v>
      </c>
      <c r="F3" s="3">
        <f t="shared" ref="F3:F8" si="0">F2-E3</f>
        <v>149</v>
      </c>
      <c r="G3" s="3" t="s">
        <v>137</v>
      </c>
      <c r="H3" s="5" t="s">
        <v>55</v>
      </c>
    </row>
    <row r="4" spans="1:8" ht="20.25" customHeight="1" x14ac:dyDescent="0.3">
      <c r="A4" s="2">
        <v>3</v>
      </c>
      <c r="B4" s="8"/>
      <c r="C4" s="10"/>
      <c r="D4" s="3"/>
      <c r="E4" s="3">
        <v>2</v>
      </c>
      <c r="F4" s="3">
        <f t="shared" si="0"/>
        <v>147</v>
      </c>
      <c r="G4" s="46" t="s">
        <v>194</v>
      </c>
      <c r="H4" s="47"/>
    </row>
    <row r="5" spans="1:8" ht="21" x14ac:dyDescent="0.7">
      <c r="A5" s="2">
        <v>4</v>
      </c>
      <c r="B5" s="8" t="s">
        <v>14</v>
      </c>
      <c r="C5" s="10" t="s">
        <v>181</v>
      </c>
      <c r="D5" s="3"/>
      <c r="E5" s="3">
        <v>1</v>
      </c>
      <c r="F5" s="3">
        <f t="shared" si="0"/>
        <v>146</v>
      </c>
      <c r="G5" s="3" t="s">
        <v>182</v>
      </c>
      <c r="H5" s="5" t="s">
        <v>55</v>
      </c>
    </row>
    <row r="6" spans="1:8" ht="21" x14ac:dyDescent="0.7">
      <c r="A6" s="2">
        <v>5</v>
      </c>
      <c r="B6" s="8" t="s">
        <v>14</v>
      </c>
      <c r="C6" s="10" t="s">
        <v>188</v>
      </c>
      <c r="D6" s="3"/>
      <c r="E6" s="3">
        <v>1</v>
      </c>
      <c r="F6" s="3">
        <f t="shared" si="0"/>
        <v>145</v>
      </c>
      <c r="G6" s="3" t="s">
        <v>189</v>
      </c>
      <c r="H6" s="5" t="s">
        <v>55</v>
      </c>
    </row>
    <row r="7" spans="1:8" ht="21" x14ac:dyDescent="0.7">
      <c r="A7" s="2">
        <v>6</v>
      </c>
      <c r="B7" s="8" t="s">
        <v>14</v>
      </c>
      <c r="C7" s="10" t="s">
        <v>188</v>
      </c>
      <c r="D7" s="3"/>
      <c r="E7" s="3">
        <v>1</v>
      </c>
      <c r="F7" s="3">
        <f t="shared" si="0"/>
        <v>144</v>
      </c>
      <c r="G7" s="3">
        <v>3780</v>
      </c>
      <c r="H7" s="5" t="s">
        <v>191</v>
      </c>
    </row>
    <row r="8" spans="1:8" ht="21" x14ac:dyDescent="0.7">
      <c r="A8" s="2">
        <v>7</v>
      </c>
      <c r="B8" s="8" t="s">
        <v>14</v>
      </c>
      <c r="C8" s="10" t="s">
        <v>276</v>
      </c>
      <c r="D8" s="3"/>
      <c r="E8" s="3">
        <v>1</v>
      </c>
      <c r="F8" s="3">
        <f t="shared" si="0"/>
        <v>143</v>
      </c>
      <c r="G8" s="3" t="s">
        <v>278</v>
      </c>
      <c r="H8" s="5" t="s">
        <v>55</v>
      </c>
    </row>
    <row r="9" spans="1:8" ht="21" x14ac:dyDescent="0.7">
      <c r="A9" s="2">
        <v>8</v>
      </c>
      <c r="B9" s="8" t="s">
        <v>14</v>
      </c>
      <c r="C9" s="10" t="s">
        <v>303</v>
      </c>
      <c r="D9" s="3"/>
      <c r="E9" s="3">
        <v>3</v>
      </c>
      <c r="F9" s="3">
        <f t="shared" ref="F9:F14" si="1">F8-E9</f>
        <v>140</v>
      </c>
      <c r="G9" s="3" t="s">
        <v>304</v>
      </c>
      <c r="H9" s="5" t="s">
        <v>55</v>
      </c>
    </row>
    <row r="10" spans="1:8" ht="21" x14ac:dyDescent="0.7">
      <c r="A10" s="2">
        <v>9</v>
      </c>
      <c r="B10" s="8" t="s">
        <v>14</v>
      </c>
      <c r="C10" s="10" t="s">
        <v>355</v>
      </c>
      <c r="D10" s="3"/>
      <c r="E10" s="3">
        <v>1</v>
      </c>
      <c r="F10" s="3">
        <f t="shared" si="1"/>
        <v>139</v>
      </c>
      <c r="G10" s="3" t="s">
        <v>356</v>
      </c>
      <c r="H10" s="5" t="s">
        <v>55</v>
      </c>
    </row>
    <row r="11" spans="1:8" ht="21" x14ac:dyDescent="0.7">
      <c r="A11" s="2">
        <v>10</v>
      </c>
      <c r="B11" s="8" t="s">
        <v>14</v>
      </c>
      <c r="C11" s="10" t="s">
        <v>426</v>
      </c>
      <c r="D11" s="3"/>
      <c r="E11" s="3">
        <v>2</v>
      </c>
      <c r="F11" s="3">
        <f t="shared" si="1"/>
        <v>137</v>
      </c>
      <c r="G11" s="3" t="s">
        <v>428</v>
      </c>
      <c r="H11" s="5" t="s">
        <v>55</v>
      </c>
    </row>
    <row r="12" spans="1:8" ht="21" x14ac:dyDescent="0.7">
      <c r="A12" s="2">
        <v>11</v>
      </c>
      <c r="B12" s="8" t="s">
        <v>14</v>
      </c>
      <c r="C12" s="10" t="s">
        <v>461</v>
      </c>
      <c r="D12" s="3"/>
      <c r="E12" s="3">
        <v>3</v>
      </c>
      <c r="F12" s="3">
        <f t="shared" si="1"/>
        <v>134</v>
      </c>
      <c r="G12" s="3" t="s">
        <v>463</v>
      </c>
      <c r="H12" s="5" t="s">
        <v>55</v>
      </c>
    </row>
    <row r="13" spans="1:8" ht="21" x14ac:dyDescent="0.7">
      <c r="A13" s="2">
        <v>12</v>
      </c>
      <c r="B13" s="8" t="s">
        <v>14</v>
      </c>
      <c r="C13" s="10" t="s">
        <v>479</v>
      </c>
      <c r="D13" s="3"/>
      <c r="E13" s="3">
        <v>2</v>
      </c>
      <c r="F13" s="3">
        <f t="shared" si="1"/>
        <v>132</v>
      </c>
      <c r="G13" s="3" t="s">
        <v>480</v>
      </c>
      <c r="H13" s="5" t="str">
        <f>H12</f>
        <v>طالب زاده</v>
      </c>
    </row>
    <row r="14" spans="1:8" ht="21" x14ac:dyDescent="0.7">
      <c r="A14" s="2">
        <v>13</v>
      </c>
      <c r="B14" s="8" t="s">
        <v>14</v>
      </c>
      <c r="C14" s="10" t="s">
        <v>527</v>
      </c>
      <c r="D14" s="3"/>
      <c r="E14" s="3">
        <v>3</v>
      </c>
      <c r="F14" s="3">
        <f t="shared" si="1"/>
        <v>129</v>
      </c>
      <c r="G14" s="3" t="s">
        <v>528</v>
      </c>
      <c r="H14" s="5" t="str">
        <f>H13</f>
        <v>طالب زاده</v>
      </c>
    </row>
    <row r="15" spans="1:8" ht="21" x14ac:dyDescent="0.7">
      <c r="A15" s="2">
        <v>14</v>
      </c>
      <c r="B15" s="8" t="s">
        <v>14</v>
      </c>
      <c r="C15" s="10" t="s">
        <v>538</v>
      </c>
      <c r="D15" s="3"/>
      <c r="E15" s="3">
        <v>2</v>
      </c>
      <c r="F15" s="3">
        <f t="shared" ref="F15:F20" si="2">F14-E15</f>
        <v>127</v>
      </c>
      <c r="G15" s="3" t="s">
        <v>539</v>
      </c>
      <c r="H15" s="5" t="str">
        <f>H14</f>
        <v>طالب زاده</v>
      </c>
    </row>
    <row r="16" spans="1:8" ht="21" x14ac:dyDescent="0.7">
      <c r="A16" s="2">
        <v>15</v>
      </c>
      <c r="B16" s="8" t="s">
        <v>14</v>
      </c>
      <c r="C16" s="10" t="s">
        <v>552</v>
      </c>
      <c r="D16" s="3"/>
      <c r="E16" s="3">
        <v>1</v>
      </c>
      <c r="F16" s="3">
        <f t="shared" si="2"/>
        <v>126</v>
      </c>
      <c r="G16" s="3" t="s">
        <v>553</v>
      </c>
      <c r="H16" s="5" t="str">
        <f>H15</f>
        <v>طالب زاده</v>
      </c>
    </row>
    <row r="17" spans="1:8" ht="21" x14ac:dyDescent="0.7">
      <c r="A17" s="2">
        <v>16</v>
      </c>
      <c r="B17" s="8" t="s">
        <v>14</v>
      </c>
      <c r="C17" s="10" t="s">
        <v>571</v>
      </c>
      <c r="D17" s="3"/>
      <c r="E17" s="3">
        <v>2</v>
      </c>
      <c r="F17" s="3">
        <f t="shared" si="2"/>
        <v>124</v>
      </c>
      <c r="G17" s="3" t="s">
        <v>572</v>
      </c>
      <c r="H17" s="5" t="s">
        <v>55</v>
      </c>
    </row>
    <row r="18" spans="1:8" ht="21" x14ac:dyDescent="0.7">
      <c r="A18" s="2">
        <v>17</v>
      </c>
      <c r="B18" s="8" t="s">
        <v>14</v>
      </c>
      <c r="C18" s="10" t="s">
        <v>576</v>
      </c>
      <c r="D18" s="3"/>
      <c r="E18" s="3">
        <v>1</v>
      </c>
      <c r="F18" s="3">
        <f t="shared" si="2"/>
        <v>123</v>
      </c>
      <c r="G18" s="3" t="s">
        <v>577</v>
      </c>
      <c r="H18" s="5" t="s">
        <v>579</v>
      </c>
    </row>
    <row r="19" spans="1:8" ht="21" x14ac:dyDescent="0.7">
      <c r="A19" s="2">
        <v>18</v>
      </c>
      <c r="B19" s="8" t="s">
        <v>14</v>
      </c>
      <c r="C19" s="10" t="s">
        <v>596</v>
      </c>
      <c r="D19" s="3"/>
      <c r="E19" s="3">
        <v>2</v>
      </c>
      <c r="F19" s="3">
        <f t="shared" si="2"/>
        <v>121</v>
      </c>
      <c r="G19" s="3" t="s">
        <v>599</v>
      </c>
      <c r="H19" s="5" t="s">
        <v>55</v>
      </c>
    </row>
    <row r="20" spans="1:8" ht="21" x14ac:dyDescent="0.7">
      <c r="A20" s="2">
        <v>19</v>
      </c>
      <c r="B20" s="8" t="s">
        <v>14</v>
      </c>
      <c r="C20" s="10" t="s">
        <v>626</v>
      </c>
      <c r="D20" s="3"/>
      <c r="E20" s="3">
        <v>5</v>
      </c>
      <c r="F20" s="3">
        <f t="shared" si="2"/>
        <v>116</v>
      </c>
      <c r="G20" s="3">
        <v>4340</v>
      </c>
      <c r="H20" s="5" t="s">
        <v>627</v>
      </c>
    </row>
    <row r="21" spans="1:8" ht="21" x14ac:dyDescent="0.7">
      <c r="A21" s="2">
        <v>20</v>
      </c>
      <c r="B21" s="8" t="s">
        <v>14</v>
      </c>
      <c r="C21" s="10" t="s">
        <v>767</v>
      </c>
      <c r="D21" s="3"/>
      <c r="E21" s="3">
        <v>1</v>
      </c>
      <c r="F21" s="3">
        <f t="shared" ref="F21:F26" si="3">F20-E21</f>
        <v>115</v>
      </c>
      <c r="G21" s="3" t="s">
        <v>768</v>
      </c>
      <c r="H21" s="5" t="s">
        <v>55</v>
      </c>
    </row>
    <row r="22" spans="1:8" ht="21" x14ac:dyDescent="0.7">
      <c r="A22" s="2">
        <v>21</v>
      </c>
      <c r="B22" s="8" t="s">
        <v>14</v>
      </c>
      <c r="C22" s="10" t="s">
        <v>772</v>
      </c>
      <c r="D22" s="3"/>
      <c r="E22" s="3">
        <v>4</v>
      </c>
      <c r="F22" s="3">
        <f t="shared" si="3"/>
        <v>111</v>
      </c>
      <c r="G22" s="3">
        <v>4560</v>
      </c>
      <c r="H22" s="5" t="s">
        <v>168</v>
      </c>
    </row>
    <row r="23" spans="1:8" ht="21" x14ac:dyDescent="0.7">
      <c r="A23" s="2">
        <v>22</v>
      </c>
      <c r="B23" s="8" t="s">
        <v>14</v>
      </c>
      <c r="C23" s="10" t="s">
        <v>856</v>
      </c>
      <c r="D23" s="3"/>
      <c r="E23" s="3">
        <v>3</v>
      </c>
      <c r="F23" s="3">
        <f t="shared" si="3"/>
        <v>108</v>
      </c>
      <c r="G23" s="3">
        <v>4671</v>
      </c>
      <c r="H23" s="5" t="s">
        <v>849</v>
      </c>
    </row>
    <row r="24" spans="1:8" ht="21" x14ac:dyDescent="0.7">
      <c r="A24" s="2">
        <v>23</v>
      </c>
      <c r="B24" s="8" t="s">
        <v>14</v>
      </c>
      <c r="C24" s="10" t="s">
        <v>874</v>
      </c>
      <c r="D24" s="3"/>
      <c r="E24" s="3">
        <v>1</v>
      </c>
      <c r="F24" s="3">
        <f t="shared" si="3"/>
        <v>107</v>
      </c>
      <c r="G24" s="3" t="s">
        <v>875</v>
      </c>
      <c r="H24" s="5" t="s">
        <v>55</v>
      </c>
    </row>
    <row r="25" spans="1:8" ht="21" x14ac:dyDescent="0.7">
      <c r="A25" s="2">
        <v>24</v>
      </c>
      <c r="B25" s="8" t="s">
        <v>14</v>
      </c>
      <c r="C25" s="10" t="s">
        <v>989</v>
      </c>
      <c r="D25" s="3"/>
      <c r="E25" s="3">
        <v>3</v>
      </c>
      <c r="F25" s="3">
        <f t="shared" si="3"/>
        <v>104</v>
      </c>
      <c r="G25" s="3">
        <v>4855</v>
      </c>
      <c r="H25" s="5" t="s">
        <v>849</v>
      </c>
    </row>
    <row r="26" spans="1:8" ht="21" x14ac:dyDescent="0.7">
      <c r="A26" s="2">
        <v>25</v>
      </c>
      <c r="B26" s="8" t="s">
        <v>14</v>
      </c>
      <c r="C26" s="10" t="s">
        <v>1185</v>
      </c>
      <c r="D26" s="3"/>
      <c r="E26" s="3">
        <v>1</v>
      </c>
      <c r="F26" s="3">
        <f t="shared" si="3"/>
        <v>103</v>
      </c>
      <c r="G26" s="3" t="s">
        <v>1186</v>
      </c>
      <c r="H26" s="5" t="s">
        <v>55</v>
      </c>
    </row>
    <row r="27" spans="1:8" ht="21" x14ac:dyDescent="0.7">
      <c r="A27" s="2">
        <v>26</v>
      </c>
      <c r="B27" s="8" t="s">
        <v>14</v>
      </c>
      <c r="C27" s="10" t="s">
        <v>1248</v>
      </c>
      <c r="D27" s="3"/>
      <c r="E27" s="3">
        <v>1</v>
      </c>
      <c r="F27" s="3">
        <f t="shared" ref="F27:F32" si="4">F26-E27</f>
        <v>102</v>
      </c>
      <c r="G27" s="3">
        <v>5245</v>
      </c>
      <c r="H27" s="5" t="s">
        <v>1251</v>
      </c>
    </row>
    <row r="28" spans="1:8" ht="21" x14ac:dyDescent="0.7">
      <c r="A28" s="2">
        <v>27</v>
      </c>
      <c r="B28" s="8" t="s">
        <v>14</v>
      </c>
      <c r="C28" s="10" t="s">
        <v>1261</v>
      </c>
      <c r="D28" s="3"/>
      <c r="E28" s="3">
        <v>1</v>
      </c>
      <c r="F28" s="3">
        <f t="shared" si="4"/>
        <v>101</v>
      </c>
      <c r="G28" s="3">
        <v>5248</v>
      </c>
      <c r="H28" s="5" t="s">
        <v>1194</v>
      </c>
    </row>
    <row r="29" spans="1:8" ht="21" x14ac:dyDescent="0.7">
      <c r="A29" s="2">
        <v>28</v>
      </c>
      <c r="B29" s="8" t="s">
        <v>14</v>
      </c>
      <c r="C29" s="10" t="s">
        <v>1262</v>
      </c>
      <c r="D29" s="3"/>
      <c r="E29" s="3">
        <v>5</v>
      </c>
      <c r="F29" s="3">
        <f t="shared" si="4"/>
        <v>96</v>
      </c>
      <c r="G29" s="3" t="s">
        <v>1263</v>
      </c>
      <c r="H29" s="5" t="s">
        <v>55</v>
      </c>
    </row>
    <row r="30" spans="1:8" ht="21" x14ac:dyDescent="0.7">
      <c r="A30" s="2">
        <v>29</v>
      </c>
      <c r="B30" s="8" t="s">
        <v>14</v>
      </c>
      <c r="C30" s="10" t="s">
        <v>1435</v>
      </c>
      <c r="D30" s="3"/>
      <c r="E30" s="3">
        <v>1</v>
      </c>
      <c r="F30" s="3">
        <f t="shared" si="4"/>
        <v>95</v>
      </c>
      <c r="G30" s="3" t="s">
        <v>1436</v>
      </c>
      <c r="H30" s="5" t="s">
        <v>436</v>
      </c>
    </row>
    <row r="31" spans="1:8" ht="21" x14ac:dyDescent="0.7">
      <c r="A31" s="2">
        <v>30</v>
      </c>
      <c r="B31" s="8" t="s">
        <v>14</v>
      </c>
      <c r="C31" s="10" t="s">
        <v>1447</v>
      </c>
      <c r="D31" s="3"/>
      <c r="E31" s="3">
        <v>1</v>
      </c>
      <c r="F31" s="3">
        <f t="shared" si="4"/>
        <v>94</v>
      </c>
      <c r="G31" s="3" t="s">
        <v>1448</v>
      </c>
      <c r="H31" s="5" t="s">
        <v>55</v>
      </c>
    </row>
    <row r="32" spans="1:8" ht="21" x14ac:dyDescent="0.7">
      <c r="A32" s="2">
        <v>31</v>
      </c>
      <c r="B32" s="8" t="s">
        <v>14</v>
      </c>
      <c r="C32" s="10" t="s">
        <v>1578</v>
      </c>
      <c r="D32" s="3"/>
      <c r="E32" s="3">
        <v>1</v>
      </c>
      <c r="F32" s="3">
        <f t="shared" si="4"/>
        <v>93</v>
      </c>
      <c r="G32" s="3" t="s">
        <v>1579</v>
      </c>
      <c r="H32" s="5" t="s">
        <v>55</v>
      </c>
    </row>
    <row r="33" spans="1:8" ht="21" x14ac:dyDescent="0.7">
      <c r="A33" s="2">
        <v>32</v>
      </c>
      <c r="B33" s="8" t="s">
        <v>14</v>
      </c>
      <c r="C33" s="10" t="s">
        <v>1606</v>
      </c>
      <c r="D33" s="3"/>
      <c r="E33" s="3">
        <v>1</v>
      </c>
      <c r="F33" s="3">
        <f t="shared" ref="F33:F38" si="5">F32-E33</f>
        <v>92</v>
      </c>
      <c r="G33" s="3" t="s">
        <v>1609</v>
      </c>
      <c r="H33" s="5" t="s">
        <v>1608</v>
      </c>
    </row>
    <row r="34" spans="1:8" ht="21" x14ac:dyDescent="0.7">
      <c r="A34" s="2">
        <v>33</v>
      </c>
      <c r="B34" s="8" t="s">
        <v>14</v>
      </c>
      <c r="C34" s="10" t="s">
        <v>1622</v>
      </c>
      <c r="D34" s="3"/>
      <c r="E34" s="3">
        <v>7</v>
      </c>
      <c r="F34" s="3">
        <f t="shared" si="5"/>
        <v>85</v>
      </c>
      <c r="G34" s="3" t="s">
        <v>1623</v>
      </c>
      <c r="H34" s="5" t="s">
        <v>55</v>
      </c>
    </row>
    <row r="35" spans="1:8" ht="21" x14ac:dyDescent="0.7">
      <c r="A35" s="2">
        <v>34</v>
      </c>
      <c r="B35" s="8" t="s">
        <v>14</v>
      </c>
      <c r="C35" s="10" t="s">
        <v>1652</v>
      </c>
      <c r="D35" s="3"/>
      <c r="E35" s="3">
        <v>1</v>
      </c>
      <c r="F35" s="3">
        <f t="shared" si="5"/>
        <v>84</v>
      </c>
      <c r="G35" s="3">
        <v>5745</v>
      </c>
      <c r="H35" s="5" t="s">
        <v>1653</v>
      </c>
    </row>
    <row r="36" spans="1:8" ht="21" x14ac:dyDescent="0.7">
      <c r="A36" s="2">
        <v>35</v>
      </c>
      <c r="B36" s="8" t="s">
        <v>14</v>
      </c>
      <c r="C36" s="10" t="s">
        <v>1657</v>
      </c>
      <c r="D36" s="3"/>
      <c r="E36" s="3">
        <v>1</v>
      </c>
      <c r="F36" s="3">
        <f t="shared" si="5"/>
        <v>83</v>
      </c>
      <c r="G36" s="3" t="s">
        <v>1658</v>
      </c>
      <c r="H36" s="5" t="s">
        <v>55</v>
      </c>
    </row>
    <row r="37" spans="1:8" ht="21" x14ac:dyDescent="0.7">
      <c r="A37" s="2">
        <v>36</v>
      </c>
      <c r="B37" s="8" t="s">
        <v>14</v>
      </c>
      <c r="C37" s="10" t="s">
        <v>1678</v>
      </c>
      <c r="D37" s="3"/>
      <c r="E37" s="3">
        <v>5</v>
      </c>
      <c r="F37" s="3">
        <f t="shared" si="5"/>
        <v>78</v>
      </c>
      <c r="G37" s="3" t="s">
        <v>1679</v>
      </c>
      <c r="H37" s="5" t="s">
        <v>55</v>
      </c>
    </row>
    <row r="38" spans="1:8" ht="21" x14ac:dyDescent="0.7">
      <c r="A38" s="2">
        <v>37</v>
      </c>
      <c r="B38" s="8" t="s">
        <v>14</v>
      </c>
      <c r="C38" s="10" t="s">
        <v>1726</v>
      </c>
      <c r="D38" s="3"/>
      <c r="E38" s="3">
        <v>2</v>
      </c>
      <c r="F38" s="3">
        <f t="shared" si="5"/>
        <v>76</v>
      </c>
      <c r="G38" s="3" t="s">
        <v>1727</v>
      </c>
      <c r="H38" s="5" t="s">
        <v>55</v>
      </c>
    </row>
    <row r="39" spans="1:8" ht="21" x14ac:dyDescent="0.7">
      <c r="A39" s="2">
        <v>38</v>
      </c>
      <c r="B39" s="8" t="s">
        <v>14</v>
      </c>
      <c r="C39" s="10" t="s">
        <v>1814</v>
      </c>
      <c r="D39" s="3"/>
      <c r="E39" s="3">
        <v>1</v>
      </c>
      <c r="F39" s="3">
        <f t="shared" ref="F39:F45" si="6">F38-E39</f>
        <v>75</v>
      </c>
      <c r="G39" s="3" t="s">
        <v>1815</v>
      </c>
      <c r="H39" s="5" t="s">
        <v>55</v>
      </c>
    </row>
    <row r="40" spans="1:8" ht="21" x14ac:dyDescent="0.7">
      <c r="A40" s="2">
        <v>39</v>
      </c>
      <c r="B40" s="8" t="s">
        <v>14</v>
      </c>
      <c r="C40" s="10" t="s">
        <v>1811</v>
      </c>
      <c r="D40" s="3"/>
      <c r="E40" s="3">
        <v>1</v>
      </c>
      <c r="F40" s="3">
        <f t="shared" si="6"/>
        <v>74</v>
      </c>
      <c r="G40" s="3">
        <v>6045</v>
      </c>
      <c r="H40" s="5" t="s">
        <v>1823</v>
      </c>
    </row>
    <row r="41" spans="1:8" ht="21" x14ac:dyDescent="0.7">
      <c r="A41" s="2">
        <v>40</v>
      </c>
      <c r="B41" s="8" t="s">
        <v>14</v>
      </c>
      <c r="C41" s="10" t="s">
        <v>1859</v>
      </c>
      <c r="D41" s="3"/>
      <c r="E41" s="3">
        <v>3</v>
      </c>
      <c r="F41" s="3">
        <f t="shared" si="6"/>
        <v>71</v>
      </c>
      <c r="G41" s="3" t="s">
        <v>1860</v>
      </c>
      <c r="H41" s="5" t="s">
        <v>55</v>
      </c>
    </row>
    <row r="42" spans="1:8" ht="21" x14ac:dyDescent="0.7">
      <c r="A42" s="2">
        <v>41</v>
      </c>
      <c r="B42" s="8" t="s">
        <v>14</v>
      </c>
      <c r="C42" s="10" t="s">
        <v>1878</v>
      </c>
      <c r="D42" s="3"/>
      <c r="E42" s="3">
        <v>1</v>
      </c>
      <c r="F42" s="3">
        <f t="shared" si="6"/>
        <v>70</v>
      </c>
      <c r="G42" s="3" t="s">
        <v>1880</v>
      </c>
      <c r="H42" s="5" t="s">
        <v>436</v>
      </c>
    </row>
    <row r="43" spans="1:8" ht="21" x14ac:dyDescent="0.7">
      <c r="A43" s="2"/>
      <c r="B43" s="8"/>
      <c r="C43" s="10"/>
      <c r="D43" s="3"/>
      <c r="E43" s="3"/>
      <c r="F43" s="3">
        <v>69</v>
      </c>
      <c r="G43" s="3"/>
      <c r="H43" s="5" t="s">
        <v>2079</v>
      </c>
    </row>
    <row r="44" spans="1:8" ht="21" x14ac:dyDescent="0.7">
      <c r="A44" s="2">
        <v>42</v>
      </c>
      <c r="B44" s="8" t="s">
        <v>14</v>
      </c>
      <c r="C44" s="10" t="s">
        <v>1908</v>
      </c>
      <c r="D44" s="3"/>
      <c r="E44" s="3">
        <v>1</v>
      </c>
      <c r="F44" s="3">
        <f>F43-E44</f>
        <v>68</v>
      </c>
      <c r="G44" s="3">
        <v>6191</v>
      </c>
      <c r="H44" s="5" t="s">
        <v>1910</v>
      </c>
    </row>
    <row r="45" spans="1:8" ht="21" x14ac:dyDescent="0.7">
      <c r="A45" s="2">
        <v>43</v>
      </c>
      <c r="B45" s="8" t="s">
        <v>14</v>
      </c>
      <c r="C45" s="10" t="s">
        <v>1955</v>
      </c>
      <c r="D45" s="3"/>
      <c r="E45" s="3">
        <v>1</v>
      </c>
      <c r="F45" s="3">
        <f t="shared" si="6"/>
        <v>67</v>
      </c>
      <c r="G45" s="3" t="s">
        <v>1957</v>
      </c>
      <c r="H45" s="5" t="s">
        <v>1956</v>
      </c>
    </row>
    <row r="46" spans="1:8" ht="21" x14ac:dyDescent="0.7">
      <c r="A46" s="2">
        <v>44</v>
      </c>
      <c r="B46" s="8" t="s">
        <v>14</v>
      </c>
      <c r="C46" s="10" t="s">
        <v>2016</v>
      </c>
      <c r="D46" s="3"/>
      <c r="E46" s="3">
        <v>4</v>
      </c>
      <c r="F46" s="3">
        <f t="shared" ref="F46:F51" si="7">F45-E46</f>
        <v>63</v>
      </c>
      <c r="G46" s="3">
        <v>6287</v>
      </c>
      <c r="H46" s="5" t="s">
        <v>2017</v>
      </c>
    </row>
    <row r="47" spans="1:8" ht="21" x14ac:dyDescent="0.7">
      <c r="A47" s="2">
        <v>45</v>
      </c>
      <c r="B47" s="8" t="s">
        <v>14</v>
      </c>
      <c r="C47" s="10" t="s">
        <v>2146</v>
      </c>
      <c r="D47" s="3"/>
      <c r="E47" s="3">
        <v>1</v>
      </c>
      <c r="F47" s="3">
        <f t="shared" si="7"/>
        <v>62</v>
      </c>
      <c r="G47" s="3" t="s">
        <v>2148</v>
      </c>
      <c r="H47" s="5" t="s">
        <v>55</v>
      </c>
    </row>
    <row r="48" spans="1:8" ht="21" x14ac:dyDescent="0.7">
      <c r="A48" s="2">
        <v>46</v>
      </c>
      <c r="B48" s="8" t="s">
        <v>14</v>
      </c>
      <c r="C48" s="10" t="s">
        <v>2163</v>
      </c>
      <c r="D48" s="3"/>
      <c r="E48" s="3">
        <v>1</v>
      </c>
      <c r="F48" s="3">
        <f t="shared" si="7"/>
        <v>61</v>
      </c>
      <c r="G48" s="3" t="s">
        <v>2164</v>
      </c>
      <c r="H48" s="5" t="s">
        <v>55</v>
      </c>
    </row>
    <row r="49" spans="1:8" ht="21" x14ac:dyDescent="0.7">
      <c r="A49" s="2">
        <v>47</v>
      </c>
      <c r="B49" s="8" t="s">
        <v>14</v>
      </c>
      <c r="C49" s="10" t="s">
        <v>2231</v>
      </c>
      <c r="D49" s="3"/>
      <c r="E49" s="3">
        <v>1</v>
      </c>
      <c r="F49" s="3">
        <f t="shared" si="7"/>
        <v>60</v>
      </c>
      <c r="G49" s="3" t="s">
        <v>2232</v>
      </c>
      <c r="H49" s="5" t="s">
        <v>55</v>
      </c>
    </row>
    <row r="50" spans="1:8" ht="21" x14ac:dyDescent="0.7">
      <c r="A50" s="2">
        <v>48</v>
      </c>
      <c r="B50" s="8" t="s">
        <v>14</v>
      </c>
      <c r="C50" s="10" t="s">
        <v>2237</v>
      </c>
      <c r="D50" s="3"/>
      <c r="E50" s="3">
        <v>1</v>
      </c>
      <c r="F50" s="3">
        <f t="shared" si="7"/>
        <v>59</v>
      </c>
      <c r="G50" s="3" t="s">
        <v>2238</v>
      </c>
      <c r="H50" s="5" t="s">
        <v>55</v>
      </c>
    </row>
    <row r="51" spans="1:8" ht="21" x14ac:dyDescent="0.7">
      <c r="A51" s="2">
        <v>49</v>
      </c>
      <c r="B51" s="8" t="s">
        <v>14</v>
      </c>
      <c r="C51" s="10" t="s">
        <v>2239</v>
      </c>
      <c r="D51" s="3"/>
      <c r="E51" s="3">
        <v>2</v>
      </c>
      <c r="F51" s="3">
        <f t="shared" si="7"/>
        <v>57</v>
      </c>
      <c r="G51" s="3">
        <v>6628</v>
      </c>
      <c r="H51" s="5" t="s">
        <v>2240</v>
      </c>
    </row>
    <row r="52" spans="1:8" ht="21" x14ac:dyDescent="0.7">
      <c r="A52" s="2">
        <v>50</v>
      </c>
      <c r="B52" s="8" t="s">
        <v>14</v>
      </c>
      <c r="C52" s="10" t="s">
        <v>2278</v>
      </c>
      <c r="D52" s="3"/>
      <c r="E52" s="3">
        <v>1</v>
      </c>
      <c r="F52" s="3">
        <f t="shared" ref="F52:F57" si="8">F51-E52</f>
        <v>56</v>
      </c>
      <c r="G52" s="3" t="s">
        <v>2279</v>
      </c>
      <c r="H52" s="5" t="s">
        <v>55</v>
      </c>
    </row>
    <row r="53" spans="1:8" ht="21" x14ac:dyDescent="0.7">
      <c r="A53" s="2">
        <v>51</v>
      </c>
      <c r="B53" s="8" t="s">
        <v>14</v>
      </c>
      <c r="C53" s="10" t="s">
        <v>2397</v>
      </c>
      <c r="D53" s="3"/>
      <c r="E53" s="3">
        <v>1</v>
      </c>
      <c r="F53" s="3">
        <f t="shared" si="8"/>
        <v>55</v>
      </c>
      <c r="G53" s="3" t="s">
        <v>2402</v>
      </c>
      <c r="H53" s="5" t="s">
        <v>55</v>
      </c>
    </row>
    <row r="54" spans="1:8" ht="21" x14ac:dyDescent="0.7">
      <c r="A54" s="2">
        <v>52</v>
      </c>
      <c r="B54" s="8" t="s">
        <v>14</v>
      </c>
      <c r="C54" s="10" t="s">
        <v>2522</v>
      </c>
      <c r="D54" s="3"/>
      <c r="E54" s="3">
        <v>1</v>
      </c>
      <c r="F54" s="3">
        <f t="shared" si="8"/>
        <v>54</v>
      </c>
      <c r="G54" s="3" t="s">
        <v>2523</v>
      </c>
      <c r="H54" s="5" t="s">
        <v>55</v>
      </c>
    </row>
    <row r="55" spans="1:8" ht="21" x14ac:dyDescent="0.7">
      <c r="A55" s="2">
        <v>53</v>
      </c>
      <c r="B55" s="8" t="s">
        <v>14</v>
      </c>
      <c r="C55" s="10" t="s">
        <v>2575</v>
      </c>
      <c r="D55" s="3"/>
      <c r="E55" s="3">
        <v>1</v>
      </c>
      <c r="F55" s="3">
        <f t="shared" si="8"/>
        <v>53</v>
      </c>
      <c r="G55" s="3" t="s">
        <v>2576</v>
      </c>
      <c r="H55" s="5" t="s">
        <v>55</v>
      </c>
    </row>
    <row r="56" spans="1:8" ht="21" x14ac:dyDescent="0.7">
      <c r="A56" s="2">
        <v>54</v>
      </c>
      <c r="B56" s="8" t="s">
        <v>14</v>
      </c>
      <c r="C56" s="10" t="s">
        <v>2626</v>
      </c>
      <c r="D56" s="3"/>
      <c r="E56" s="3">
        <v>1</v>
      </c>
      <c r="F56" s="3">
        <f t="shared" si="8"/>
        <v>52</v>
      </c>
      <c r="G56" s="3">
        <v>7275</v>
      </c>
      <c r="H56" s="5" t="s">
        <v>2627</v>
      </c>
    </row>
    <row r="57" spans="1:8" ht="21" x14ac:dyDescent="0.7">
      <c r="A57" s="2">
        <v>55</v>
      </c>
      <c r="B57" s="8" t="s">
        <v>14</v>
      </c>
      <c r="C57" s="10" t="s">
        <v>2653</v>
      </c>
      <c r="D57" s="3"/>
      <c r="E57" s="3">
        <v>1</v>
      </c>
      <c r="F57" s="3">
        <f t="shared" si="8"/>
        <v>51</v>
      </c>
      <c r="G57" s="3" t="s">
        <v>2654</v>
      </c>
      <c r="H57" s="5" t="s">
        <v>55</v>
      </c>
    </row>
    <row r="58" spans="1:8" ht="21" x14ac:dyDescent="0.7">
      <c r="A58" s="2">
        <v>56</v>
      </c>
      <c r="B58" s="8" t="s">
        <v>14</v>
      </c>
      <c r="C58" s="10"/>
      <c r="D58" s="3"/>
      <c r="E58" s="3"/>
      <c r="F58" s="3"/>
      <c r="G58" s="3"/>
      <c r="H58" s="5"/>
    </row>
    <row r="59" spans="1:8" ht="21" x14ac:dyDescent="0.7">
      <c r="A59" s="2">
        <v>57</v>
      </c>
      <c r="B59" s="8" t="s">
        <v>14</v>
      </c>
      <c r="C59" s="10"/>
      <c r="D59" s="3"/>
      <c r="E59" s="3"/>
      <c r="F59" s="3"/>
      <c r="G59" s="3"/>
      <c r="H59" s="5"/>
    </row>
    <row r="60" spans="1:8" ht="21" x14ac:dyDescent="0.7">
      <c r="A60" s="2">
        <v>58</v>
      </c>
      <c r="B60" s="8" t="s">
        <v>14</v>
      </c>
      <c r="C60" s="10"/>
      <c r="D60" s="3"/>
      <c r="E60" s="3"/>
      <c r="F60" s="3"/>
      <c r="G60" s="3"/>
      <c r="H60" s="5"/>
    </row>
    <row r="61" spans="1:8" ht="21" x14ac:dyDescent="0.7">
      <c r="A61" s="2">
        <v>59</v>
      </c>
      <c r="B61" s="8" t="s">
        <v>14</v>
      </c>
      <c r="C61" s="10"/>
      <c r="D61" s="3"/>
      <c r="E61" s="3"/>
      <c r="F61" s="3"/>
      <c r="G61" s="3"/>
      <c r="H61" s="5"/>
    </row>
  </sheetData>
  <mergeCells count="1">
    <mergeCell ref="G4:H4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H21"/>
  <sheetViews>
    <sheetView rightToLeft="1" zoomScale="110" zoomScaleNormal="110" workbookViewId="0">
      <pane ySplit="1" topLeftCell="A14" activePane="bottomLeft" state="frozen"/>
      <selection pane="bottomLeft" activeCell="G21" sqref="G21"/>
    </sheetView>
  </sheetViews>
  <sheetFormatPr defaultRowHeight="14.4" x14ac:dyDescent="0.3"/>
  <cols>
    <col min="2" max="2" width="12" bestFit="1" customWidth="1"/>
    <col min="3" max="3" width="10.88671875" bestFit="1" customWidth="1"/>
    <col min="7" max="7" width="11.88671875" bestFit="1" customWidth="1"/>
    <col min="8" max="8" width="17.55468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15</v>
      </c>
      <c r="C2" s="10" t="s">
        <v>47</v>
      </c>
      <c r="D2" s="3"/>
      <c r="E2" s="3">
        <v>1</v>
      </c>
      <c r="F2" s="3">
        <v>29</v>
      </c>
      <c r="G2" s="3" t="s">
        <v>48</v>
      </c>
      <c r="H2" s="5" t="s">
        <v>49</v>
      </c>
    </row>
    <row r="3" spans="1:8" ht="21" x14ac:dyDescent="0.7">
      <c r="A3" s="2">
        <v>2</v>
      </c>
      <c r="B3" s="8" t="s">
        <v>15</v>
      </c>
      <c r="C3" s="10" t="s">
        <v>105</v>
      </c>
      <c r="D3" s="3"/>
      <c r="E3" s="3">
        <v>1</v>
      </c>
      <c r="F3" s="3">
        <f>F2-E3</f>
        <v>28</v>
      </c>
      <c r="G3" s="3">
        <v>3661</v>
      </c>
      <c r="H3" s="5" t="s">
        <v>107</v>
      </c>
    </row>
    <row r="4" spans="1:8" ht="20.25" customHeight="1" x14ac:dyDescent="0.3">
      <c r="A4" s="2">
        <v>3</v>
      </c>
      <c r="B4" s="8" t="s">
        <v>15</v>
      </c>
      <c r="C4" s="10"/>
      <c r="D4" s="3"/>
      <c r="E4" s="3">
        <v>1</v>
      </c>
      <c r="F4" s="3">
        <f>F3-E4</f>
        <v>27</v>
      </c>
      <c r="G4" s="46" t="s">
        <v>195</v>
      </c>
      <c r="H4" s="47"/>
    </row>
    <row r="5" spans="1:8" ht="21" x14ac:dyDescent="0.7">
      <c r="A5" s="2">
        <v>4</v>
      </c>
      <c r="B5" s="8" t="s">
        <v>15</v>
      </c>
      <c r="C5" s="10" t="s">
        <v>203</v>
      </c>
      <c r="D5" s="3"/>
      <c r="E5" s="3">
        <v>1</v>
      </c>
      <c r="F5" s="3">
        <f>F4-E5</f>
        <v>26</v>
      </c>
      <c r="G5" s="3" t="s">
        <v>202</v>
      </c>
      <c r="H5" s="5" t="s">
        <v>55</v>
      </c>
    </row>
    <row r="6" spans="1:8" ht="20.25" customHeight="1" x14ac:dyDescent="0.3">
      <c r="A6" s="2">
        <v>5</v>
      </c>
      <c r="B6" s="8" t="s">
        <v>15</v>
      </c>
      <c r="C6" s="10"/>
      <c r="D6" s="3"/>
      <c r="E6" s="3"/>
      <c r="F6" s="3">
        <v>27</v>
      </c>
      <c r="G6" s="48" t="s">
        <v>376</v>
      </c>
      <c r="H6" s="49"/>
    </row>
    <row r="7" spans="1:8" ht="21" x14ac:dyDescent="0.7">
      <c r="A7" s="2">
        <v>6</v>
      </c>
      <c r="B7" s="8" t="s">
        <v>15</v>
      </c>
      <c r="C7" s="10" t="s">
        <v>394</v>
      </c>
      <c r="D7" s="3"/>
      <c r="E7" s="3">
        <v>1</v>
      </c>
      <c r="F7" s="3">
        <f t="shared" ref="F7:F12" si="0">F6-E7</f>
        <v>26</v>
      </c>
      <c r="G7" s="3" t="s">
        <v>395</v>
      </c>
      <c r="H7" s="5" t="s">
        <v>49</v>
      </c>
    </row>
    <row r="8" spans="1:8" ht="21" x14ac:dyDescent="0.7">
      <c r="A8" s="2">
        <v>7</v>
      </c>
      <c r="B8" s="8" t="s">
        <v>15</v>
      </c>
      <c r="C8" s="10" t="s">
        <v>568</v>
      </c>
      <c r="D8" s="3"/>
      <c r="E8" s="3">
        <v>1</v>
      </c>
      <c r="F8" s="3">
        <f t="shared" si="0"/>
        <v>25</v>
      </c>
      <c r="G8" s="3">
        <v>4293</v>
      </c>
      <c r="H8" s="5" t="s">
        <v>569</v>
      </c>
    </row>
    <row r="9" spans="1:8" ht="21" x14ac:dyDescent="0.7">
      <c r="A9" s="2">
        <v>8</v>
      </c>
      <c r="B9" s="8" t="s">
        <v>15</v>
      </c>
      <c r="C9" s="10" t="s">
        <v>640</v>
      </c>
      <c r="D9" s="3"/>
      <c r="E9" s="3">
        <v>1</v>
      </c>
      <c r="F9" s="3">
        <f t="shared" si="0"/>
        <v>24</v>
      </c>
      <c r="G9" s="3">
        <v>4363</v>
      </c>
      <c r="H9" s="5" t="s">
        <v>641</v>
      </c>
    </row>
    <row r="10" spans="1:8" ht="21" x14ac:dyDescent="0.7">
      <c r="A10" s="2">
        <v>9</v>
      </c>
      <c r="B10" s="8" t="s">
        <v>15</v>
      </c>
      <c r="C10" s="10" t="s">
        <v>839</v>
      </c>
      <c r="D10" s="3"/>
      <c r="E10" s="3">
        <v>1</v>
      </c>
      <c r="F10" s="3">
        <f t="shared" si="0"/>
        <v>23</v>
      </c>
      <c r="G10" s="3" t="s">
        <v>841</v>
      </c>
      <c r="H10" s="5" t="s">
        <v>49</v>
      </c>
    </row>
    <row r="11" spans="1:8" ht="21" x14ac:dyDescent="0.7">
      <c r="A11" s="2">
        <v>10</v>
      </c>
      <c r="B11" s="8" t="s">
        <v>15</v>
      </c>
      <c r="C11" s="10" t="s">
        <v>854</v>
      </c>
      <c r="D11" s="3"/>
      <c r="E11" s="3">
        <v>1</v>
      </c>
      <c r="F11" s="3">
        <f t="shared" si="0"/>
        <v>22</v>
      </c>
      <c r="G11" s="3">
        <v>4667</v>
      </c>
      <c r="H11" s="5" t="s">
        <v>855</v>
      </c>
    </row>
    <row r="12" spans="1:8" ht="21" x14ac:dyDescent="0.7">
      <c r="A12" s="2">
        <v>11</v>
      </c>
      <c r="B12" s="8" t="s">
        <v>15</v>
      </c>
      <c r="C12" s="10" t="s">
        <v>1098</v>
      </c>
      <c r="D12" s="3"/>
      <c r="E12" s="3">
        <v>1</v>
      </c>
      <c r="F12" s="3">
        <f t="shared" si="0"/>
        <v>21</v>
      </c>
      <c r="G12" s="3" t="s">
        <v>1099</v>
      </c>
      <c r="H12" s="5" t="s">
        <v>55</v>
      </c>
    </row>
    <row r="13" spans="1:8" ht="21" x14ac:dyDescent="0.7">
      <c r="A13" s="2">
        <v>12</v>
      </c>
      <c r="B13" s="8" t="s">
        <v>15</v>
      </c>
      <c r="C13" s="10" t="s">
        <v>1225</v>
      </c>
      <c r="D13" s="3"/>
      <c r="E13" s="3">
        <v>1</v>
      </c>
      <c r="F13" s="3">
        <f t="shared" ref="F13:F18" si="1">F12-E13</f>
        <v>20</v>
      </c>
      <c r="G13" s="3">
        <v>5199</v>
      </c>
      <c r="H13" s="5" t="s">
        <v>1226</v>
      </c>
    </row>
    <row r="14" spans="1:8" ht="21" x14ac:dyDescent="0.7">
      <c r="A14" s="2">
        <v>13</v>
      </c>
      <c r="B14" s="8" t="s">
        <v>15</v>
      </c>
      <c r="C14" s="10" t="s">
        <v>1413</v>
      </c>
      <c r="D14" s="3"/>
      <c r="E14" s="3">
        <v>14</v>
      </c>
      <c r="F14" s="3">
        <f t="shared" si="1"/>
        <v>6</v>
      </c>
      <c r="G14" s="3">
        <v>5428</v>
      </c>
      <c r="H14" s="5" t="s">
        <v>1417</v>
      </c>
    </row>
    <row r="15" spans="1:8" ht="21" x14ac:dyDescent="0.7">
      <c r="A15" s="2">
        <v>14</v>
      </c>
      <c r="B15" s="8" t="s">
        <v>15</v>
      </c>
      <c r="C15" s="10" t="s">
        <v>1529</v>
      </c>
      <c r="D15" s="3"/>
      <c r="E15" s="3">
        <v>1</v>
      </c>
      <c r="F15" s="3">
        <f t="shared" si="1"/>
        <v>5</v>
      </c>
      <c r="G15" s="3" t="s">
        <v>1530</v>
      </c>
      <c r="H15" s="5" t="s">
        <v>55</v>
      </c>
    </row>
    <row r="16" spans="1:8" ht="21" x14ac:dyDescent="0.7">
      <c r="A16" s="2">
        <v>15</v>
      </c>
      <c r="B16" s="8" t="s">
        <v>15</v>
      </c>
      <c r="C16" s="10" t="s">
        <v>1865</v>
      </c>
      <c r="D16" s="3"/>
      <c r="E16" s="3">
        <v>1</v>
      </c>
      <c r="F16" s="3">
        <f t="shared" si="1"/>
        <v>4</v>
      </c>
      <c r="G16" s="3" t="s">
        <v>1866</v>
      </c>
      <c r="H16" s="5" t="s">
        <v>55</v>
      </c>
    </row>
    <row r="17" spans="1:8" ht="21" x14ac:dyDescent="0.7">
      <c r="A17" s="2">
        <v>16</v>
      </c>
      <c r="B17" s="8" t="s">
        <v>15</v>
      </c>
      <c r="C17" s="10" t="s">
        <v>1889</v>
      </c>
      <c r="D17" s="3"/>
      <c r="E17" s="3">
        <v>1</v>
      </c>
      <c r="F17" s="3">
        <f t="shared" si="1"/>
        <v>3</v>
      </c>
      <c r="G17" s="3">
        <v>6127</v>
      </c>
      <c r="H17" s="5" t="s">
        <v>1890</v>
      </c>
    </row>
    <row r="18" spans="1:8" ht="21" x14ac:dyDescent="0.7">
      <c r="A18" s="2">
        <v>17</v>
      </c>
      <c r="B18" s="8" t="s">
        <v>15</v>
      </c>
      <c r="C18" s="10" t="s">
        <v>1994</v>
      </c>
      <c r="D18" s="3"/>
      <c r="E18" s="3">
        <v>1</v>
      </c>
      <c r="F18" s="3">
        <f t="shared" si="1"/>
        <v>2</v>
      </c>
      <c r="G18" s="3" t="s">
        <v>1995</v>
      </c>
      <c r="H18" s="5" t="s">
        <v>55</v>
      </c>
    </row>
    <row r="19" spans="1:8" ht="21" x14ac:dyDescent="0.7">
      <c r="A19" s="2">
        <v>18</v>
      </c>
      <c r="B19" s="8" t="s">
        <v>15</v>
      </c>
      <c r="C19" s="10" t="s">
        <v>2434</v>
      </c>
      <c r="D19" s="3"/>
      <c r="E19" s="3">
        <v>1</v>
      </c>
      <c r="F19" s="3">
        <f>F18-E19</f>
        <v>1</v>
      </c>
      <c r="G19" s="3">
        <v>6947</v>
      </c>
      <c r="H19" s="5" t="s">
        <v>2435</v>
      </c>
    </row>
    <row r="20" spans="1:8" ht="21" customHeight="1" x14ac:dyDescent="0.3">
      <c r="A20" s="2">
        <v>19</v>
      </c>
      <c r="B20" s="8" t="s">
        <v>15</v>
      </c>
      <c r="C20" s="10"/>
      <c r="D20" s="3"/>
      <c r="E20" s="3">
        <v>1</v>
      </c>
      <c r="F20" s="3">
        <f>F19-E20</f>
        <v>0</v>
      </c>
      <c r="G20" s="48" t="s">
        <v>2618</v>
      </c>
      <c r="H20" s="49"/>
    </row>
    <row r="21" spans="1:8" ht="21" x14ac:dyDescent="0.7">
      <c r="A21" s="2">
        <v>20</v>
      </c>
      <c r="B21" s="8" t="s">
        <v>15</v>
      </c>
      <c r="C21" s="10"/>
      <c r="D21" s="3"/>
      <c r="E21" s="3"/>
      <c r="F21" s="3"/>
      <c r="G21" s="3"/>
      <c r="H21" s="5"/>
    </row>
  </sheetData>
  <mergeCells count="3">
    <mergeCell ref="G4:H4"/>
    <mergeCell ref="G6:H6"/>
    <mergeCell ref="G20:H20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H83"/>
  <sheetViews>
    <sheetView rightToLeft="1" zoomScale="115" zoomScaleNormal="115" workbookViewId="0">
      <pane ySplit="1" topLeftCell="A71" activePane="bottomLeft" state="frozen"/>
      <selection pane="bottomLeft" activeCell="F81" sqref="F81"/>
    </sheetView>
  </sheetViews>
  <sheetFormatPr defaultRowHeight="14.4" x14ac:dyDescent="0.3"/>
  <cols>
    <col min="2" max="2" width="10.33203125" bestFit="1" customWidth="1"/>
    <col min="3" max="3" width="11.88671875" bestFit="1" customWidth="1"/>
    <col min="7" max="7" width="11.88671875" bestFit="1" customWidth="1"/>
    <col min="8" max="8" width="21.4414062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.75" customHeight="1" x14ac:dyDescent="0.3">
      <c r="A2" s="2">
        <v>1</v>
      </c>
      <c r="B2" s="8" t="s">
        <v>339</v>
      </c>
      <c r="C2" s="10"/>
      <c r="D2" s="3">
        <v>40</v>
      </c>
      <c r="E2" s="3"/>
      <c r="F2" s="3">
        <v>40</v>
      </c>
      <c r="G2" s="3"/>
      <c r="H2" s="14" t="s">
        <v>338</v>
      </c>
    </row>
    <row r="3" spans="1:8" ht="21" x14ac:dyDescent="0.7">
      <c r="A3" s="2">
        <v>2</v>
      </c>
      <c r="B3" s="8" t="s">
        <v>339</v>
      </c>
      <c r="C3" s="10" t="s">
        <v>358</v>
      </c>
      <c r="D3" s="3"/>
      <c r="E3" s="3">
        <v>4</v>
      </c>
      <c r="F3" s="3">
        <f>F2-E3</f>
        <v>36</v>
      </c>
      <c r="G3" s="3">
        <v>4015</v>
      </c>
      <c r="H3" s="5" t="s">
        <v>96</v>
      </c>
    </row>
    <row r="4" spans="1:8" ht="21" x14ac:dyDescent="0.7">
      <c r="A4" s="2">
        <v>3</v>
      </c>
      <c r="B4" s="8" t="s">
        <v>339</v>
      </c>
      <c r="C4" s="10" t="s">
        <v>491</v>
      </c>
      <c r="D4" s="3"/>
      <c r="E4" s="3">
        <v>1</v>
      </c>
      <c r="F4" s="3">
        <f>F3-E4</f>
        <v>35</v>
      </c>
      <c r="G4" s="3" t="s">
        <v>494</v>
      </c>
      <c r="H4" s="5" t="s">
        <v>55</v>
      </c>
    </row>
    <row r="5" spans="1:8" ht="21.75" customHeight="1" x14ac:dyDescent="0.3">
      <c r="A5" s="2">
        <v>4</v>
      </c>
      <c r="B5" s="8" t="s">
        <v>339</v>
      </c>
      <c r="C5" s="10" t="s">
        <v>495</v>
      </c>
      <c r="D5" s="3">
        <v>120</v>
      </c>
      <c r="E5" s="3"/>
      <c r="F5" s="3">
        <f>F4+D5</f>
        <v>155</v>
      </c>
      <c r="G5" s="3"/>
      <c r="H5" s="14" t="s">
        <v>497</v>
      </c>
    </row>
    <row r="6" spans="1:8" ht="21" x14ac:dyDescent="0.7">
      <c r="A6" s="2">
        <v>5</v>
      </c>
      <c r="B6" s="8" t="s">
        <v>339</v>
      </c>
      <c r="C6" s="10" t="s">
        <v>589</v>
      </c>
      <c r="D6" s="3"/>
      <c r="E6" s="3">
        <v>1</v>
      </c>
      <c r="F6" s="3">
        <f t="shared" ref="F6:F11" si="0">F5-E6</f>
        <v>154</v>
      </c>
      <c r="G6" s="3">
        <v>4311</v>
      </c>
      <c r="H6" s="5" t="s">
        <v>590</v>
      </c>
    </row>
    <row r="7" spans="1:8" ht="21" x14ac:dyDescent="0.7">
      <c r="A7" s="2">
        <v>6</v>
      </c>
      <c r="B7" s="8" t="s">
        <v>339</v>
      </c>
      <c r="C7" s="10" t="s">
        <v>610</v>
      </c>
      <c r="D7" s="3"/>
      <c r="E7" s="3">
        <v>3</v>
      </c>
      <c r="F7" s="3">
        <f t="shared" si="0"/>
        <v>151</v>
      </c>
      <c r="G7" s="3">
        <v>4335</v>
      </c>
      <c r="H7" s="5" t="s">
        <v>96</v>
      </c>
    </row>
    <row r="8" spans="1:8" ht="21" x14ac:dyDescent="0.7">
      <c r="A8" s="2">
        <v>7</v>
      </c>
      <c r="B8" s="8" t="s">
        <v>339</v>
      </c>
      <c r="C8" s="10" t="s">
        <v>626</v>
      </c>
      <c r="D8" s="3"/>
      <c r="E8" s="3">
        <v>1</v>
      </c>
      <c r="F8" s="3">
        <f t="shared" si="0"/>
        <v>150</v>
      </c>
      <c r="G8" s="3">
        <v>4343</v>
      </c>
      <c r="H8" s="5" t="s">
        <v>590</v>
      </c>
    </row>
    <row r="9" spans="1:8" ht="21" x14ac:dyDescent="0.7">
      <c r="A9" s="2">
        <v>8</v>
      </c>
      <c r="B9" s="8" t="s">
        <v>339</v>
      </c>
      <c r="C9" s="10" t="s">
        <v>637</v>
      </c>
      <c r="D9" s="3"/>
      <c r="E9" s="3">
        <v>5</v>
      </c>
      <c r="F9" s="3">
        <f t="shared" si="0"/>
        <v>145</v>
      </c>
      <c r="G9" s="3">
        <v>4360</v>
      </c>
      <c r="H9" s="5" t="s">
        <v>43</v>
      </c>
    </row>
    <row r="10" spans="1:8" ht="21" x14ac:dyDescent="0.7">
      <c r="A10" s="2">
        <v>9</v>
      </c>
      <c r="B10" s="8" t="s">
        <v>339</v>
      </c>
      <c r="C10" s="10" t="s">
        <v>735</v>
      </c>
      <c r="D10" s="3"/>
      <c r="E10" s="3">
        <v>6</v>
      </c>
      <c r="F10" s="3">
        <f t="shared" si="0"/>
        <v>139</v>
      </c>
      <c r="G10" s="3">
        <v>4501</v>
      </c>
      <c r="H10" s="5" t="s">
        <v>427</v>
      </c>
    </row>
    <row r="11" spans="1:8" ht="21" x14ac:dyDescent="0.7">
      <c r="A11" s="2">
        <v>10</v>
      </c>
      <c r="B11" s="8" t="s">
        <v>339</v>
      </c>
      <c r="C11" s="10" t="s">
        <v>751</v>
      </c>
      <c r="D11" s="3"/>
      <c r="E11" s="3">
        <v>10</v>
      </c>
      <c r="F11" s="3">
        <f t="shared" si="0"/>
        <v>129</v>
      </c>
      <c r="G11" s="3" t="s">
        <v>752</v>
      </c>
      <c r="H11" s="5" t="s">
        <v>55</v>
      </c>
    </row>
    <row r="12" spans="1:8" ht="21" x14ac:dyDescent="0.7">
      <c r="A12" s="2">
        <v>11</v>
      </c>
      <c r="B12" s="8" t="s">
        <v>339</v>
      </c>
      <c r="C12" s="10" t="s">
        <v>751</v>
      </c>
      <c r="D12" s="3"/>
      <c r="E12" s="3">
        <v>10</v>
      </c>
      <c r="F12" s="3">
        <f>F11-E12</f>
        <v>119</v>
      </c>
      <c r="G12" s="3" t="s">
        <v>753</v>
      </c>
      <c r="H12" s="5" t="s">
        <v>49</v>
      </c>
    </row>
    <row r="13" spans="1:8" ht="21" x14ac:dyDescent="0.7">
      <c r="A13" s="2">
        <v>12</v>
      </c>
      <c r="B13" s="8" t="s">
        <v>339</v>
      </c>
      <c r="C13" s="10" t="s">
        <v>758</v>
      </c>
      <c r="D13" s="3"/>
      <c r="E13" s="3">
        <v>1</v>
      </c>
      <c r="F13" s="3">
        <f>F12-E13</f>
        <v>118</v>
      </c>
      <c r="G13" s="3">
        <v>4538</v>
      </c>
      <c r="H13" s="5" t="s">
        <v>759</v>
      </c>
    </row>
    <row r="14" spans="1:8" ht="21" x14ac:dyDescent="0.7">
      <c r="A14" s="2">
        <v>13</v>
      </c>
      <c r="B14" s="8" t="s">
        <v>339</v>
      </c>
      <c r="C14" s="10" t="s">
        <v>772</v>
      </c>
      <c r="D14" s="3"/>
      <c r="E14" s="3">
        <v>1</v>
      </c>
      <c r="F14" s="3">
        <f>F13-E14</f>
        <v>117</v>
      </c>
      <c r="G14" s="3">
        <v>4562</v>
      </c>
      <c r="H14" s="5" t="s">
        <v>759</v>
      </c>
    </row>
    <row r="15" spans="1:8" ht="21" x14ac:dyDescent="0.7">
      <c r="A15" s="2">
        <v>14</v>
      </c>
      <c r="B15" s="8" t="s">
        <v>339</v>
      </c>
      <c r="C15" s="10" t="s">
        <v>784</v>
      </c>
      <c r="D15" s="3">
        <v>240</v>
      </c>
      <c r="E15" s="3"/>
      <c r="F15" s="16">
        <f>F14+D15</f>
        <v>357</v>
      </c>
      <c r="G15" s="3"/>
      <c r="H15" s="19" t="s">
        <v>786</v>
      </c>
    </row>
    <row r="16" spans="1:8" ht="21" x14ac:dyDescent="0.7">
      <c r="A16" s="2">
        <v>15</v>
      </c>
      <c r="B16" s="8" t="s">
        <v>339</v>
      </c>
      <c r="C16" s="10" t="s">
        <v>809</v>
      </c>
      <c r="D16" s="3"/>
      <c r="E16" s="3">
        <v>1</v>
      </c>
      <c r="F16" s="3">
        <f t="shared" ref="F16:F21" si="1">F15-E16</f>
        <v>356</v>
      </c>
      <c r="G16" s="3">
        <v>4612</v>
      </c>
      <c r="H16" s="5" t="s">
        <v>590</v>
      </c>
    </row>
    <row r="17" spans="1:8" ht="21" x14ac:dyDescent="0.7">
      <c r="A17" s="2">
        <v>16</v>
      </c>
      <c r="B17" s="8" t="s">
        <v>339</v>
      </c>
      <c r="C17" s="10" t="s">
        <v>871</v>
      </c>
      <c r="D17" s="3"/>
      <c r="E17" s="3">
        <v>5</v>
      </c>
      <c r="F17" s="3">
        <f t="shared" si="1"/>
        <v>351</v>
      </c>
      <c r="G17" s="3">
        <v>4690</v>
      </c>
      <c r="H17" s="5" t="s">
        <v>590</v>
      </c>
    </row>
    <row r="18" spans="1:8" ht="21" x14ac:dyDescent="0.7">
      <c r="A18" s="2">
        <v>17</v>
      </c>
      <c r="B18" s="8" t="s">
        <v>339</v>
      </c>
      <c r="C18" s="10" t="s">
        <v>889</v>
      </c>
      <c r="D18" s="3"/>
      <c r="E18" s="3">
        <v>1</v>
      </c>
      <c r="F18" s="3">
        <f t="shared" si="1"/>
        <v>350</v>
      </c>
      <c r="G18" s="3">
        <v>4706</v>
      </c>
      <c r="H18" s="5" t="s">
        <v>890</v>
      </c>
    </row>
    <row r="19" spans="1:8" ht="21" x14ac:dyDescent="0.7">
      <c r="A19" s="2">
        <v>18</v>
      </c>
      <c r="B19" s="8" t="s">
        <v>339</v>
      </c>
      <c r="C19" s="10" t="s">
        <v>903</v>
      </c>
      <c r="D19" s="3"/>
      <c r="E19" s="3">
        <v>40</v>
      </c>
      <c r="F19" s="3">
        <f t="shared" si="1"/>
        <v>310</v>
      </c>
      <c r="G19" s="3" t="s">
        <v>904</v>
      </c>
      <c r="H19" s="5" t="s">
        <v>55</v>
      </c>
    </row>
    <row r="20" spans="1:8" ht="21" x14ac:dyDescent="0.7">
      <c r="A20" s="2">
        <v>19</v>
      </c>
      <c r="B20" s="8" t="s">
        <v>339</v>
      </c>
      <c r="C20" s="10" t="s">
        <v>914</v>
      </c>
      <c r="D20" s="3"/>
      <c r="E20" s="3">
        <v>1</v>
      </c>
      <c r="F20" s="3">
        <f t="shared" si="1"/>
        <v>309</v>
      </c>
      <c r="G20" s="3">
        <v>4741</v>
      </c>
      <c r="H20" s="5" t="s">
        <v>472</v>
      </c>
    </row>
    <row r="21" spans="1:8" ht="21" x14ac:dyDescent="0.7">
      <c r="A21" s="2">
        <v>20</v>
      </c>
      <c r="B21" s="8" t="s">
        <v>339</v>
      </c>
      <c r="C21" s="10" t="s">
        <v>924</v>
      </c>
      <c r="D21" s="3"/>
      <c r="E21" s="3">
        <v>25</v>
      </c>
      <c r="F21" s="3">
        <f t="shared" si="1"/>
        <v>284</v>
      </c>
      <c r="G21" s="3">
        <v>4749</v>
      </c>
      <c r="H21" s="5" t="s">
        <v>930</v>
      </c>
    </row>
    <row r="22" spans="1:8" ht="21" x14ac:dyDescent="0.7">
      <c r="A22" s="2">
        <v>21</v>
      </c>
      <c r="B22" s="8" t="s">
        <v>339</v>
      </c>
      <c r="C22" s="10" t="s">
        <v>935</v>
      </c>
      <c r="D22" s="3"/>
      <c r="E22" s="3">
        <v>1</v>
      </c>
      <c r="F22" s="3">
        <f t="shared" ref="F22:F27" si="2">F21-E22</f>
        <v>283</v>
      </c>
      <c r="G22" s="3" t="s">
        <v>936</v>
      </c>
      <c r="H22" s="5" t="s">
        <v>55</v>
      </c>
    </row>
    <row r="23" spans="1:8" ht="21" x14ac:dyDescent="0.7">
      <c r="A23" s="2">
        <v>22</v>
      </c>
      <c r="B23" s="8" t="s">
        <v>339</v>
      </c>
      <c r="C23" s="10" t="s">
        <v>939</v>
      </c>
      <c r="D23" s="3"/>
      <c r="E23" s="3">
        <v>30</v>
      </c>
      <c r="F23" s="3">
        <f t="shared" si="2"/>
        <v>253</v>
      </c>
      <c r="G23" s="3">
        <v>4758</v>
      </c>
      <c r="H23" s="5" t="s">
        <v>930</v>
      </c>
    </row>
    <row r="24" spans="1:8" ht="21" x14ac:dyDescent="0.7">
      <c r="A24" s="2">
        <v>23</v>
      </c>
      <c r="B24" s="8" t="s">
        <v>339</v>
      </c>
      <c r="C24" s="10" t="s">
        <v>941</v>
      </c>
      <c r="D24" s="3"/>
      <c r="E24" s="3">
        <v>1</v>
      </c>
      <c r="F24" s="3">
        <f t="shared" si="2"/>
        <v>252</v>
      </c>
      <c r="G24" s="3">
        <v>4763</v>
      </c>
      <c r="H24" s="5" t="s">
        <v>942</v>
      </c>
    </row>
    <row r="25" spans="1:8" ht="21" x14ac:dyDescent="0.7">
      <c r="A25" s="2">
        <v>24</v>
      </c>
      <c r="B25" s="8" t="s">
        <v>339</v>
      </c>
      <c r="C25" s="10" t="s">
        <v>984</v>
      </c>
      <c r="D25" s="3"/>
      <c r="E25" s="3">
        <v>5</v>
      </c>
      <c r="F25" s="3">
        <f t="shared" si="2"/>
        <v>247</v>
      </c>
      <c r="G25" s="3">
        <v>4851</v>
      </c>
      <c r="H25" s="5" t="s">
        <v>988</v>
      </c>
    </row>
    <row r="26" spans="1:8" ht="21" x14ac:dyDescent="0.7">
      <c r="A26" s="2">
        <v>25</v>
      </c>
      <c r="B26" s="8" t="s">
        <v>339</v>
      </c>
      <c r="C26" s="10" t="s">
        <v>1033</v>
      </c>
      <c r="D26" s="3"/>
      <c r="E26" s="3">
        <v>10</v>
      </c>
      <c r="F26" s="3">
        <f t="shared" si="2"/>
        <v>237</v>
      </c>
      <c r="G26" s="3">
        <v>4919</v>
      </c>
      <c r="H26" s="5" t="s">
        <v>1038</v>
      </c>
    </row>
    <row r="27" spans="1:8" ht="21" x14ac:dyDescent="0.7">
      <c r="A27" s="2">
        <v>26</v>
      </c>
      <c r="B27" s="8" t="s">
        <v>339</v>
      </c>
      <c r="C27" s="10" t="s">
        <v>1047</v>
      </c>
      <c r="D27" s="3"/>
      <c r="E27" s="3">
        <v>4</v>
      </c>
      <c r="F27" s="3">
        <f t="shared" si="2"/>
        <v>233</v>
      </c>
      <c r="G27" s="3">
        <v>4938</v>
      </c>
      <c r="H27" s="5" t="s">
        <v>1050</v>
      </c>
    </row>
    <row r="28" spans="1:8" ht="21" x14ac:dyDescent="0.7">
      <c r="A28" s="2">
        <v>27</v>
      </c>
      <c r="B28" s="8" t="s">
        <v>339</v>
      </c>
      <c r="C28" s="10" t="s">
        <v>1130</v>
      </c>
      <c r="D28" s="3"/>
      <c r="E28" s="3">
        <v>50</v>
      </c>
      <c r="F28" s="3">
        <f t="shared" ref="F28:F33" si="3">F27-E28</f>
        <v>183</v>
      </c>
      <c r="G28" s="3">
        <v>4095</v>
      </c>
      <c r="H28" s="5" t="s">
        <v>1132</v>
      </c>
    </row>
    <row r="29" spans="1:8" ht="21" x14ac:dyDescent="0.7">
      <c r="A29" s="2">
        <v>28</v>
      </c>
      <c r="B29" s="8" t="s">
        <v>339</v>
      </c>
      <c r="C29" s="10" t="s">
        <v>1351</v>
      </c>
      <c r="D29" s="3"/>
      <c r="E29" s="3">
        <v>1</v>
      </c>
      <c r="F29" s="3">
        <f t="shared" si="3"/>
        <v>182</v>
      </c>
      <c r="G29" s="3">
        <v>5354</v>
      </c>
      <c r="H29" s="5" t="s">
        <v>1352</v>
      </c>
    </row>
    <row r="30" spans="1:8" ht="21" x14ac:dyDescent="0.7">
      <c r="A30" s="2">
        <v>29</v>
      </c>
      <c r="B30" s="8" t="s">
        <v>339</v>
      </c>
      <c r="C30" s="10" t="s">
        <v>1354</v>
      </c>
      <c r="D30" s="3"/>
      <c r="E30" s="3">
        <v>6</v>
      </c>
      <c r="F30" s="3">
        <f t="shared" si="3"/>
        <v>176</v>
      </c>
      <c r="G30" s="3">
        <v>5357</v>
      </c>
      <c r="H30" s="5" t="s">
        <v>1355</v>
      </c>
    </row>
    <row r="31" spans="1:8" ht="21" x14ac:dyDescent="0.7">
      <c r="A31" s="2">
        <v>30</v>
      </c>
      <c r="B31" s="8" t="s">
        <v>339</v>
      </c>
      <c r="C31" s="10" t="s">
        <v>1356</v>
      </c>
      <c r="D31" s="3"/>
      <c r="E31" s="3">
        <v>1</v>
      </c>
      <c r="F31" s="3">
        <f t="shared" si="3"/>
        <v>175</v>
      </c>
      <c r="G31" s="3">
        <f>G30-F31</f>
        <v>5182</v>
      </c>
      <c r="H31" s="5" t="s">
        <v>1357</v>
      </c>
    </row>
    <row r="32" spans="1:8" ht="21" x14ac:dyDescent="0.7">
      <c r="A32" s="2">
        <v>31</v>
      </c>
      <c r="B32" s="8" t="s">
        <v>339</v>
      </c>
      <c r="C32" s="10" t="s">
        <v>1359</v>
      </c>
      <c r="D32" s="3"/>
      <c r="E32" s="3">
        <v>1</v>
      </c>
      <c r="F32" s="3">
        <f t="shared" si="3"/>
        <v>174</v>
      </c>
      <c r="G32" s="3" t="s">
        <v>1360</v>
      </c>
      <c r="H32" s="5" t="s">
        <v>55</v>
      </c>
    </row>
    <row r="33" spans="1:8" ht="21" x14ac:dyDescent="0.7">
      <c r="A33" s="2">
        <v>32</v>
      </c>
      <c r="B33" s="8" t="s">
        <v>339</v>
      </c>
      <c r="C33" s="10" t="s">
        <v>1359</v>
      </c>
      <c r="D33" s="3"/>
      <c r="E33" s="3">
        <v>1</v>
      </c>
      <c r="F33" s="3">
        <f t="shared" si="3"/>
        <v>173</v>
      </c>
      <c r="G33" s="3">
        <v>5373</v>
      </c>
      <c r="H33" s="5" t="s">
        <v>1123</v>
      </c>
    </row>
    <row r="34" spans="1:8" ht="21" x14ac:dyDescent="0.7">
      <c r="A34" s="2">
        <v>33</v>
      </c>
      <c r="B34" s="8" t="s">
        <v>339</v>
      </c>
      <c r="C34" s="10" t="s">
        <v>1359</v>
      </c>
      <c r="D34" s="3"/>
      <c r="E34" s="3">
        <v>5</v>
      </c>
      <c r="F34" s="3">
        <f>F33-E34</f>
        <v>168</v>
      </c>
      <c r="G34" s="3">
        <v>5371</v>
      </c>
      <c r="H34" s="5" t="s">
        <v>1362</v>
      </c>
    </row>
    <row r="35" spans="1:8" ht="21" x14ac:dyDescent="0.7">
      <c r="A35" s="2">
        <v>34</v>
      </c>
      <c r="B35" s="8" t="s">
        <v>339</v>
      </c>
      <c r="C35" s="10" t="s">
        <v>1363</v>
      </c>
      <c r="D35" s="3"/>
      <c r="E35" s="3">
        <v>2</v>
      </c>
      <c r="F35" s="3">
        <f>F34-E35</f>
        <v>166</v>
      </c>
      <c r="G35" s="3" t="s">
        <v>1364</v>
      </c>
      <c r="H35" s="5" t="s">
        <v>55</v>
      </c>
    </row>
    <row r="36" spans="1:8" ht="21" x14ac:dyDescent="0.7">
      <c r="A36" s="2">
        <v>35</v>
      </c>
      <c r="B36" s="8" t="s">
        <v>339</v>
      </c>
      <c r="C36" s="10" t="s">
        <v>1370</v>
      </c>
      <c r="D36" s="3"/>
      <c r="E36" s="3">
        <v>25</v>
      </c>
      <c r="F36" s="3">
        <f>F35-E36</f>
        <v>141</v>
      </c>
      <c r="G36" s="3">
        <v>5383</v>
      </c>
      <c r="H36" s="5" t="s">
        <v>930</v>
      </c>
    </row>
    <row r="37" spans="1:8" ht="21" x14ac:dyDescent="0.7">
      <c r="A37" s="2">
        <v>36</v>
      </c>
      <c r="B37" s="8" t="s">
        <v>339</v>
      </c>
      <c r="C37" s="10" t="s">
        <v>1372</v>
      </c>
      <c r="D37" s="3">
        <v>24</v>
      </c>
      <c r="E37" s="3"/>
      <c r="F37" s="3">
        <f>F36+D37</f>
        <v>165</v>
      </c>
      <c r="G37" s="3"/>
      <c r="H37" s="19" t="s">
        <v>1371</v>
      </c>
    </row>
    <row r="38" spans="1:8" ht="21" x14ac:dyDescent="0.7">
      <c r="A38" s="2">
        <v>37</v>
      </c>
      <c r="B38" s="8" t="s">
        <v>339</v>
      </c>
      <c r="C38" s="10" t="s">
        <v>1373</v>
      </c>
      <c r="D38" s="3"/>
      <c r="E38" s="3">
        <v>6</v>
      </c>
      <c r="F38" s="3">
        <f t="shared" ref="F38:F43" si="4">F37-E38</f>
        <v>159</v>
      </c>
      <c r="G38" s="3">
        <v>5389</v>
      </c>
      <c r="H38" s="5" t="s">
        <v>1362</v>
      </c>
    </row>
    <row r="39" spans="1:8" ht="21" x14ac:dyDescent="0.7">
      <c r="A39" s="2">
        <v>38</v>
      </c>
      <c r="B39" s="8" t="s">
        <v>339</v>
      </c>
      <c r="C39" s="10" t="s">
        <v>1410</v>
      </c>
      <c r="D39" s="3"/>
      <c r="E39" s="3">
        <v>2</v>
      </c>
      <c r="F39" s="3">
        <f t="shared" si="4"/>
        <v>157</v>
      </c>
      <c r="G39" s="3" t="s">
        <v>1411</v>
      </c>
      <c r="H39" s="5" t="s">
        <v>55</v>
      </c>
    </row>
    <row r="40" spans="1:8" ht="21" x14ac:dyDescent="0.7">
      <c r="A40" s="2">
        <v>39</v>
      </c>
      <c r="B40" s="8" t="s">
        <v>339</v>
      </c>
      <c r="C40" s="10" t="s">
        <v>1440</v>
      </c>
      <c r="D40" s="3"/>
      <c r="E40" s="3">
        <v>10</v>
      </c>
      <c r="F40" s="3">
        <f t="shared" si="4"/>
        <v>147</v>
      </c>
      <c r="G40" s="3">
        <v>5444</v>
      </c>
      <c r="H40" s="5" t="s">
        <v>43</v>
      </c>
    </row>
    <row r="41" spans="1:8" ht="21" x14ac:dyDescent="0.7">
      <c r="A41" s="2">
        <v>40</v>
      </c>
      <c r="B41" s="8" t="s">
        <v>339</v>
      </c>
      <c r="C41" s="10" t="s">
        <v>1483</v>
      </c>
      <c r="D41" s="3"/>
      <c r="E41" s="3">
        <v>2</v>
      </c>
      <c r="F41" s="3">
        <f t="shared" si="4"/>
        <v>145</v>
      </c>
      <c r="G41" s="3" t="s">
        <v>1484</v>
      </c>
      <c r="H41" s="5" t="s">
        <v>55</v>
      </c>
    </row>
    <row r="42" spans="1:8" ht="21" x14ac:dyDescent="0.7">
      <c r="A42" s="2">
        <v>41</v>
      </c>
      <c r="B42" s="8" t="s">
        <v>339</v>
      </c>
      <c r="C42" s="10" t="s">
        <v>1497</v>
      </c>
      <c r="D42" s="3"/>
      <c r="E42" s="3">
        <v>2</v>
      </c>
      <c r="F42" s="3">
        <f t="shared" si="4"/>
        <v>143</v>
      </c>
      <c r="G42" s="3" t="s">
        <v>1498</v>
      </c>
      <c r="H42" s="5" t="s">
        <v>49</v>
      </c>
    </row>
    <row r="43" spans="1:8" ht="21" x14ac:dyDescent="0.7">
      <c r="A43" s="2">
        <v>42</v>
      </c>
      <c r="B43" s="8" t="s">
        <v>339</v>
      </c>
      <c r="C43" s="10" t="s">
        <v>1520</v>
      </c>
      <c r="D43" s="3"/>
      <c r="E43" s="3">
        <v>3</v>
      </c>
      <c r="F43" s="3">
        <f t="shared" si="4"/>
        <v>140</v>
      </c>
      <c r="G43" s="3">
        <v>5543</v>
      </c>
      <c r="H43" s="5" t="s">
        <v>164</v>
      </c>
    </row>
    <row r="44" spans="1:8" ht="21" x14ac:dyDescent="0.7">
      <c r="A44" s="2">
        <v>43</v>
      </c>
      <c r="B44" s="8" t="s">
        <v>339</v>
      </c>
      <c r="C44" s="10" t="s">
        <v>1537</v>
      </c>
      <c r="D44" s="3"/>
      <c r="E44" s="3">
        <v>10</v>
      </c>
      <c r="F44" s="3">
        <f>F43-E44</f>
        <v>130</v>
      </c>
      <c r="G44" s="3">
        <v>5561</v>
      </c>
      <c r="H44" s="5" t="s">
        <v>43</v>
      </c>
    </row>
    <row r="45" spans="1:8" ht="21" x14ac:dyDescent="0.7">
      <c r="A45" s="2">
        <v>44</v>
      </c>
      <c r="B45" s="8" t="s">
        <v>339</v>
      </c>
      <c r="C45" s="10" t="s">
        <v>1538</v>
      </c>
      <c r="D45" s="3">
        <v>24</v>
      </c>
      <c r="E45" s="3"/>
      <c r="F45" s="3">
        <f>F44+D45</f>
        <v>154</v>
      </c>
      <c r="G45" s="3"/>
      <c r="H45" s="19" t="s">
        <v>1539</v>
      </c>
    </row>
    <row r="46" spans="1:8" ht="21" x14ac:dyDescent="0.7">
      <c r="A46" s="2">
        <v>45</v>
      </c>
      <c r="B46" s="8" t="s">
        <v>339</v>
      </c>
      <c r="C46" s="10" t="s">
        <v>1581</v>
      </c>
      <c r="D46" s="3"/>
      <c r="E46" s="3">
        <v>1</v>
      </c>
      <c r="F46" s="3">
        <f>F45-E46</f>
        <v>153</v>
      </c>
      <c r="G46" s="3" t="s">
        <v>1582</v>
      </c>
      <c r="H46" s="5" t="s">
        <v>55</v>
      </c>
    </row>
    <row r="47" spans="1:8" ht="21" x14ac:dyDescent="0.7">
      <c r="A47" s="2">
        <v>46</v>
      </c>
      <c r="B47" s="8" t="s">
        <v>339</v>
      </c>
      <c r="C47" s="10" t="s">
        <v>1633</v>
      </c>
      <c r="D47" s="3"/>
      <c r="E47" s="3">
        <v>2</v>
      </c>
      <c r="F47" s="3">
        <f>F46-E47</f>
        <v>151</v>
      </c>
      <c r="G47" s="3" t="s">
        <v>1634</v>
      </c>
      <c r="H47" s="5" t="s">
        <v>55</v>
      </c>
    </row>
    <row r="48" spans="1:8" ht="21" x14ac:dyDescent="0.7">
      <c r="A48" s="2">
        <v>47</v>
      </c>
      <c r="B48" s="8" t="s">
        <v>339</v>
      </c>
      <c r="C48" s="10" t="s">
        <v>1668</v>
      </c>
      <c r="D48" s="3"/>
      <c r="E48" s="3">
        <v>1</v>
      </c>
      <c r="F48" s="3">
        <f>F47-E48</f>
        <v>150</v>
      </c>
      <c r="G48" s="3" t="s">
        <v>1669</v>
      </c>
      <c r="H48" s="5" t="s">
        <v>55</v>
      </c>
    </row>
    <row r="49" spans="1:8" ht="21" x14ac:dyDescent="0.7">
      <c r="A49" s="2">
        <v>48</v>
      </c>
      <c r="B49" s="8" t="s">
        <v>339</v>
      </c>
      <c r="C49" s="10" t="s">
        <v>1695</v>
      </c>
      <c r="D49" s="3"/>
      <c r="E49" s="3">
        <v>1</v>
      </c>
      <c r="F49" s="3">
        <f>F48-E49</f>
        <v>149</v>
      </c>
      <c r="G49" s="3">
        <v>5821</v>
      </c>
      <c r="H49" s="5" t="s">
        <v>1142</v>
      </c>
    </row>
    <row r="50" spans="1:8" ht="21" x14ac:dyDescent="0.7">
      <c r="A50" s="2">
        <v>49</v>
      </c>
      <c r="B50" s="8" t="s">
        <v>339</v>
      </c>
      <c r="C50" s="10" t="s">
        <v>1701</v>
      </c>
      <c r="D50" s="3"/>
      <c r="E50" s="3">
        <v>1</v>
      </c>
      <c r="F50" s="3">
        <f>F49-E50</f>
        <v>148</v>
      </c>
      <c r="G50" s="3" t="s">
        <v>1702</v>
      </c>
      <c r="H50" s="5" t="s">
        <v>55</v>
      </c>
    </row>
    <row r="51" spans="1:8" ht="21" x14ac:dyDescent="0.7">
      <c r="A51" s="2">
        <v>50</v>
      </c>
      <c r="B51" s="8" t="s">
        <v>339</v>
      </c>
      <c r="C51" s="10" t="s">
        <v>1708</v>
      </c>
      <c r="D51" s="3">
        <v>24</v>
      </c>
      <c r="E51" s="3"/>
      <c r="F51" s="3">
        <f>F50+D51</f>
        <v>172</v>
      </c>
      <c r="G51" s="3"/>
      <c r="H51" s="19" t="s">
        <v>1707</v>
      </c>
    </row>
    <row r="52" spans="1:8" ht="21" x14ac:dyDescent="0.7">
      <c r="A52" s="2">
        <v>51</v>
      </c>
      <c r="B52" s="8" t="s">
        <v>339</v>
      </c>
      <c r="C52" s="10" t="s">
        <v>1712</v>
      </c>
      <c r="D52" s="3"/>
      <c r="E52" s="3">
        <v>2</v>
      </c>
      <c r="F52" s="3">
        <f>F51-E52</f>
        <v>170</v>
      </c>
      <c r="G52" s="3">
        <v>5854</v>
      </c>
      <c r="H52" s="5" t="s">
        <v>1142</v>
      </c>
    </row>
    <row r="53" spans="1:8" ht="21" x14ac:dyDescent="0.7">
      <c r="A53" s="2">
        <v>52</v>
      </c>
      <c r="B53" s="8" t="s">
        <v>339</v>
      </c>
      <c r="C53" s="10" t="s">
        <v>1748</v>
      </c>
      <c r="D53" s="3"/>
      <c r="E53" s="3">
        <v>10</v>
      </c>
      <c r="F53" s="3">
        <f>F52-E53</f>
        <v>160</v>
      </c>
      <c r="G53" s="3" t="s">
        <v>1751</v>
      </c>
      <c r="H53" s="5" t="s">
        <v>1750</v>
      </c>
    </row>
    <row r="54" spans="1:8" ht="21" x14ac:dyDescent="0.7">
      <c r="A54" s="2">
        <v>53</v>
      </c>
      <c r="B54" s="8" t="s">
        <v>339</v>
      </c>
      <c r="C54" s="10" t="s">
        <v>1769</v>
      </c>
      <c r="D54" s="3"/>
      <c r="E54" s="3">
        <v>5</v>
      </c>
      <c r="F54" s="3">
        <f>F53-E54</f>
        <v>155</v>
      </c>
      <c r="G54" s="3" t="s">
        <v>1770</v>
      </c>
      <c r="H54" s="5" t="s">
        <v>55</v>
      </c>
    </row>
    <row r="55" spans="1:8" ht="21" x14ac:dyDescent="0.7">
      <c r="A55" s="2">
        <v>54</v>
      </c>
      <c r="B55" s="8" t="s">
        <v>339</v>
      </c>
      <c r="C55" s="10" t="s">
        <v>1827</v>
      </c>
      <c r="D55" s="3"/>
      <c r="E55" s="3">
        <v>1</v>
      </c>
      <c r="F55" s="3">
        <f>F54-E55</f>
        <v>154</v>
      </c>
      <c r="G55" s="3" t="s">
        <v>1828</v>
      </c>
      <c r="H55" s="5" t="s">
        <v>55</v>
      </c>
    </row>
    <row r="56" spans="1:8" ht="21" x14ac:dyDescent="0.7">
      <c r="A56" s="2">
        <v>55</v>
      </c>
      <c r="B56" s="8" t="s">
        <v>339</v>
      </c>
      <c r="C56" s="10" t="s">
        <v>1829</v>
      </c>
      <c r="D56" s="3"/>
      <c r="E56" s="3">
        <v>1</v>
      </c>
      <c r="F56" s="3">
        <f>F55-E56</f>
        <v>153</v>
      </c>
      <c r="G56" s="3">
        <v>6056</v>
      </c>
      <c r="H56" s="5" t="s">
        <v>1293</v>
      </c>
    </row>
    <row r="57" spans="1:8" ht="20.25" customHeight="1" x14ac:dyDescent="0.3">
      <c r="A57" s="2">
        <v>56</v>
      </c>
      <c r="B57" s="8" t="s">
        <v>339</v>
      </c>
      <c r="C57" s="10"/>
      <c r="D57" s="3"/>
      <c r="E57" s="3"/>
      <c r="F57" s="3">
        <v>142</v>
      </c>
      <c r="G57" s="46" t="s">
        <v>1949</v>
      </c>
      <c r="H57" s="47"/>
    </row>
    <row r="58" spans="1:8" ht="21" x14ac:dyDescent="0.7">
      <c r="A58" s="2">
        <v>57</v>
      </c>
      <c r="B58" s="8" t="s">
        <v>339</v>
      </c>
      <c r="C58" s="10" t="s">
        <v>1994</v>
      </c>
      <c r="D58" s="3"/>
      <c r="E58" s="3">
        <v>2</v>
      </c>
      <c r="F58" s="3">
        <f t="shared" ref="F58:F63" si="5">F57-E58</f>
        <v>140</v>
      </c>
      <c r="G58" s="3" t="s">
        <v>1996</v>
      </c>
      <c r="H58" s="5" t="s">
        <v>49</v>
      </c>
    </row>
    <row r="59" spans="1:8" ht="21" x14ac:dyDescent="0.7">
      <c r="A59" s="2">
        <v>58</v>
      </c>
      <c r="B59" s="8" t="s">
        <v>339</v>
      </c>
      <c r="C59" s="10" t="s">
        <v>2065</v>
      </c>
      <c r="D59" s="3"/>
      <c r="E59" s="3">
        <v>55</v>
      </c>
      <c r="F59" s="3">
        <f t="shared" si="5"/>
        <v>85</v>
      </c>
      <c r="G59" s="3">
        <v>6331</v>
      </c>
      <c r="H59" s="5" t="s">
        <v>1673</v>
      </c>
    </row>
    <row r="60" spans="1:8" ht="21" x14ac:dyDescent="0.7">
      <c r="A60" s="2">
        <v>59</v>
      </c>
      <c r="B60" s="8" t="s">
        <v>339</v>
      </c>
      <c r="C60" s="10" t="s">
        <v>2071</v>
      </c>
      <c r="D60" s="3"/>
      <c r="E60" s="3">
        <v>60</v>
      </c>
      <c r="F60" s="3">
        <f t="shared" si="5"/>
        <v>25</v>
      </c>
      <c r="G60" s="3">
        <v>6336</v>
      </c>
      <c r="H60" s="5" t="s">
        <v>1673</v>
      </c>
    </row>
    <row r="61" spans="1:8" ht="21" x14ac:dyDescent="0.7">
      <c r="A61" s="2">
        <v>60</v>
      </c>
      <c r="B61" s="8" t="s">
        <v>339</v>
      </c>
      <c r="C61" s="10" t="s">
        <v>2072</v>
      </c>
      <c r="D61" s="3"/>
      <c r="E61" s="3">
        <v>7</v>
      </c>
      <c r="F61" s="3">
        <f t="shared" si="5"/>
        <v>18</v>
      </c>
      <c r="G61" s="3">
        <v>6338</v>
      </c>
      <c r="H61" s="5" t="s">
        <v>1673</v>
      </c>
    </row>
    <row r="62" spans="1:8" ht="21" x14ac:dyDescent="0.7">
      <c r="A62" s="2">
        <v>61</v>
      </c>
      <c r="B62" s="8" t="s">
        <v>339</v>
      </c>
      <c r="C62" s="10" t="s">
        <v>2088</v>
      </c>
      <c r="D62" s="3"/>
      <c r="E62" s="3">
        <v>1</v>
      </c>
      <c r="F62" s="3">
        <f t="shared" si="5"/>
        <v>17</v>
      </c>
      <c r="G62" s="3" t="s">
        <v>2089</v>
      </c>
      <c r="H62" s="5" t="s">
        <v>49</v>
      </c>
    </row>
    <row r="63" spans="1:8" ht="21" x14ac:dyDescent="0.7">
      <c r="A63" s="2">
        <v>62</v>
      </c>
      <c r="B63" s="8" t="s">
        <v>339</v>
      </c>
      <c r="C63" s="10" t="s">
        <v>2090</v>
      </c>
      <c r="D63" s="3"/>
      <c r="E63" s="3">
        <v>1</v>
      </c>
      <c r="F63" s="3">
        <f t="shared" si="5"/>
        <v>16</v>
      </c>
      <c r="G63" s="3">
        <v>6364</v>
      </c>
      <c r="H63" s="5" t="s">
        <v>2097</v>
      </c>
    </row>
    <row r="64" spans="1:8" ht="21" x14ac:dyDescent="0.7">
      <c r="A64" s="2">
        <v>63</v>
      </c>
      <c r="B64" s="8" t="s">
        <v>339</v>
      </c>
      <c r="C64" s="10" t="s">
        <v>2094</v>
      </c>
      <c r="D64" s="3"/>
      <c r="E64" s="3">
        <v>1</v>
      </c>
      <c r="F64" s="3">
        <f t="shared" ref="F64:F68" si="6">F63-E64</f>
        <v>15</v>
      </c>
      <c r="G64" s="3">
        <v>6353</v>
      </c>
      <c r="H64" s="5" t="s">
        <v>1715</v>
      </c>
    </row>
    <row r="65" spans="1:8" ht="21" x14ac:dyDescent="0.7">
      <c r="A65" s="2">
        <v>64</v>
      </c>
      <c r="B65" s="8" t="s">
        <v>339</v>
      </c>
      <c r="C65" s="10" t="s">
        <v>2090</v>
      </c>
      <c r="D65" s="3"/>
      <c r="E65" s="3">
        <v>3</v>
      </c>
      <c r="F65" s="3">
        <f t="shared" si="6"/>
        <v>12</v>
      </c>
      <c r="G65" s="3">
        <v>6361</v>
      </c>
      <c r="H65" s="5" t="s">
        <v>1715</v>
      </c>
    </row>
    <row r="66" spans="1:8" ht="21" x14ac:dyDescent="0.7">
      <c r="A66" s="2">
        <v>65</v>
      </c>
      <c r="B66" s="8" t="s">
        <v>339</v>
      </c>
      <c r="C66" s="10" t="s">
        <v>2108</v>
      </c>
      <c r="D66" s="3"/>
      <c r="E66" s="3">
        <v>1</v>
      </c>
      <c r="F66" s="3">
        <f t="shared" si="6"/>
        <v>11</v>
      </c>
      <c r="G66" s="3" t="s">
        <v>2110</v>
      </c>
      <c r="H66" s="5" t="s">
        <v>55</v>
      </c>
    </row>
    <row r="67" spans="1:8" ht="21" x14ac:dyDescent="0.7">
      <c r="A67" s="2">
        <v>66</v>
      </c>
      <c r="B67" s="8" t="s">
        <v>339</v>
      </c>
      <c r="C67" s="10" t="s">
        <v>2131</v>
      </c>
      <c r="D67" s="3"/>
      <c r="E67" s="3">
        <v>3</v>
      </c>
      <c r="F67" s="3">
        <f t="shared" si="6"/>
        <v>8</v>
      </c>
      <c r="G67" s="3">
        <v>6423</v>
      </c>
      <c r="H67" s="5" t="s">
        <v>1715</v>
      </c>
    </row>
    <row r="68" spans="1:8" ht="21" x14ac:dyDescent="0.7">
      <c r="A68" s="2">
        <v>67</v>
      </c>
      <c r="B68" s="8" t="s">
        <v>339</v>
      </c>
      <c r="C68" s="10" t="s">
        <v>2149</v>
      </c>
      <c r="D68" s="3"/>
      <c r="E68" s="3">
        <v>3</v>
      </c>
      <c r="F68" s="3">
        <f t="shared" si="6"/>
        <v>5</v>
      </c>
      <c r="G68" s="3" t="s">
        <v>2150</v>
      </c>
      <c r="H68" s="5" t="s">
        <v>55</v>
      </c>
    </row>
    <row r="69" spans="1:8" ht="21" x14ac:dyDescent="0.7">
      <c r="A69" s="2">
        <v>69</v>
      </c>
      <c r="B69" s="8" t="s">
        <v>339</v>
      </c>
      <c r="C69" s="10" t="s">
        <v>2216</v>
      </c>
      <c r="D69" s="3">
        <v>24</v>
      </c>
      <c r="E69" s="3"/>
      <c r="F69" s="3">
        <f>F68+D69</f>
        <v>29</v>
      </c>
      <c r="G69" s="3"/>
      <c r="H69" s="19" t="s">
        <v>2218</v>
      </c>
    </row>
    <row r="70" spans="1:8" ht="21" x14ac:dyDescent="0.7">
      <c r="A70" s="2">
        <v>70</v>
      </c>
      <c r="B70" s="8" t="s">
        <v>339</v>
      </c>
      <c r="C70" s="10" t="s">
        <v>2221</v>
      </c>
      <c r="D70" s="3"/>
      <c r="E70" s="3">
        <v>10</v>
      </c>
      <c r="F70" s="3">
        <f t="shared" ref="F70:F75" si="7">F69-E70</f>
        <v>19</v>
      </c>
      <c r="G70" s="3">
        <v>6589</v>
      </c>
      <c r="H70" s="5" t="s">
        <v>43</v>
      </c>
    </row>
    <row r="71" spans="1:8" ht="21" x14ac:dyDescent="0.7">
      <c r="A71" s="2">
        <v>71</v>
      </c>
      <c r="B71" s="8" t="s">
        <v>339</v>
      </c>
      <c r="C71" s="10" t="s">
        <v>2334</v>
      </c>
      <c r="D71" s="3"/>
      <c r="E71" s="3">
        <v>1</v>
      </c>
      <c r="F71" s="3">
        <f t="shared" si="7"/>
        <v>18</v>
      </c>
      <c r="G71" s="3" t="s">
        <v>2335</v>
      </c>
      <c r="H71" s="5" t="s">
        <v>55</v>
      </c>
    </row>
    <row r="72" spans="1:8" ht="21" x14ac:dyDescent="0.7">
      <c r="A72" s="2">
        <v>72</v>
      </c>
      <c r="B72" s="8" t="s">
        <v>339</v>
      </c>
      <c r="C72" s="10" t="s">
        <v>2345</v>
      </c>
      <c r="D72" s="3"/>
      <c r="E72" s="3">
        <v>2</v>
      </c>
      <c r="F72" s="3">
        <f t="shared" si="7"/>
        <v>16</v>
      </c>
      <c r="G72" s="3" t="s">
        <v>2348</v>
      </c>
      <c r="H72" s="5" t="s">
        <v>55</v>
      </c>
    </row>
    <row r="73" spans="1:8" ht="21" x14ac:dyDescent="0.7">
      <c r="A73" s="2">
        <v>73</v>
      </c>
      <c r="B73" s="8" t="s">
        <v>339</v>
      </c>
      <c r="C73" s="10" t="s">
        <v>2421</v>
      </c>
      <c r="D73" s="3"/>
      <c r="E73" s="3">
        <v>1</v>
      </c>
      <c r="F73" s="3">
        <f t="shared" si="7"/>
        <v>15</v>
      </c>
      <c r="G73" s="3" t="s">
        <v>2422</v>
      </c>
      <c r="H73" s="5" t="s">
        <v>55</v>
      </c>
    </row>
    <row r="74" spans="1:8" ht="21" x14ac:dyDescent="0.7">
      <c r="A74" s="2">
        <v>74</v>
      </c>
      <c r="B74" s="8" t="s">
        <v>339</v>
      </c>
      <c r="C74" s="10" t="s">
        <v>2453</v>
      </c>
      <c r="D74" s="3"/>
      <c r="E74" s="3">
        <v>1</v>
      </c>
      <c r="F74" s="3">
        <f t="shared" si="7"/>
        <v>14</v>
      </c>
      <c r="G74" s="3" t="s">
        <v>2454</v>
      </c>
      <c r="H74" s="5" t="s">
        <v>55</v>
      </c>
    </row>
    <row r="75" spans="1:8" ht="21" x14ac:dyDescent="0.7">
      <c r="A75" s="2">
        <v>75</v>
      </c>
      <c r="B75" s="8" t="s">
        <v>339</v>
      </c>
      <c r="C75" s="10" t="s">
        <v>2524</v>
      </c>
      <c r="D75" s="3"/>
      <c r="E75" s="3">
        <v>5</v>
      </c>
      <c r="F75" s="3">
        <f t="shared" si="7"/>
        <v>9</v>
      </c>
      <c r="G75" s="3" t="s">
        <v>2525</v>
      </c>
      <c r="H75" s="5" t="s">
        <v>55</v>
      </c>
    </row>
    <row r="76" spans="1:8" ht="21" x14ac:dyDescent="0.7">
      <c r="A76" s="2">
        <v>76</v>
      </c>
      <c r="B76" s="8" t="s">
        <v>339</v>
      </c>
      <c r="C76" s="10" t="s">
        <v>2556</v>
      </c>
      <c r="D76" s="3">
        <v>24</v>
      </c>
      <c r="E76" s="3"/>
      <c r="F76" s="3">
        <f>F75+D76</f>
        <v>33</v>
      </c>
      <c r="G76" s="3"/>
      <c r="H76" s="19" t="s">
        <v>2555</v>
      </c>
    </row>
    <row r="77" spans="1:8" ht="21" x14ac:dyDescent="0.7">
      <c r="A77" s="2">
        <v>77</v>
      </c>
      <c r="B77" s="8" t="s">
        <v>339</v>
      </c>
      <c r="C77" s="10" t="s">
        <v>2572</v>
      </c>
      <c r="D77" s="3"/>
      <c r="E77" s="3">
        <v>4</v>
      </c>
      <c r="F77" s="3">
        <f>F76-E77</f>
        <v>29</v>
      </c>
      <c r="G77" s="3" t="s">
        <v>2573</v>
      </c>
      <c r="H77" s="5" t="s">
        <v>55</v>
      </c>
    </row>
    <row r="78" spans="1:8" ht="21" x14ac:dyDescent="0.7">
      <c r="A78" s="2">
        <v>78</v>
      </c>
      <c r="B78" s="8" t="s">
        <v>339</v>
      </c>
      <c r="C78" s="10" t="s">
        <v>2589</v>
      </c>
      <c r="D78" s="3"/>
      <c r="E78" s="3">
        <v>1</v>
      </c>
      <c r="F78" s="3">
        <f>F77-E78</f>
        <v>28</v>
      </c>
      <c r="G78" s="3">
        <v>7215</v>
      </c>
      <c r="H78" s="5" t="s">
        <v>2591</v>
      </c>
    </row>
    <row r="79" spans="1:8" ht="21" x14ac:dyDescent="0.7">
      <c r="A79" s="2">
        <v>79</v>
      </c>
      <c r="B79" s="8" t="s">
        <v>339</v>
      </c>
      <c r="C79" s="10" t="s">
        <v>2616</v>
      </c>
      <c r="D79" s="3"/>
      <c r="E79" s="3">
        <v>2</v>
      </c>
      <c r="F79" s="3">
        <f>F78-E79</f>
        <v>26</v>
      </c>
      <c r="G79" s="3">
        <v>7255</v>
      </c>
      <c r="H79" s="5" t="s">
        <v>2617</v>
      </c>
    </row>
    <row r="80" spans="1:8" ht="21" x14ac:dyDescent="0.7">
      <c r="A80" s="2">
        <v>80</v>
      </c>
      <c r="B80" s="8" t="s">
        <v>339</v>
      </c>
      <c r="C80" s="10" t="s">
        <v>2662</v>
      </c>
      <c r="D80" s="3"/>
      <c r="E80" s="3">
        <v>1</v>
      </c>
      <c r="F80" s="3">
        <f>F79-E80</f>
        <v>25</v>
      </c>
      <c r="G80" s="3" t="s">
        <v>2663</v>
      </c>
      <c r="H80" s="5" t="s">
        <v>55</v>
      </c>
    </row>
    <row r="81" spans="1:8" ht="21" x14ac:dyDescent="0.7">
      <c r="A81" s="2">
        <v>81</v>
      </c>
      <c r="B81" s="8" t="s">
        <v>339</v>
      </c>
      <c r="C81" s="10"/>
      <c r="D81" s="3"/>
      <c r="E81" s="3"/>
      <c r="F81" s="3"/>
      <c r="G81" s="3"/>
      <c r="H81" s="5"/>
    </row>
    <row r="82" spans="1:8" ht="21" x14ac:dyDescent="0.7">
      <c r="A82" s="2">
        <v>82</v>
      </c>
      <c r="B82" s="8" t="s">
        <v>339</v>
      </c>
      <c r="C82" s="10"/>
      <c r="D82" s="3"/>
      <c r="E82" s="3"/>
      <c r="F82" s="3"/>
      <c r="G82" s="3"/>
      <c r="H82" s="5"/>
    </row>
    <row r="83" spans="1:8" ht="21" x14ac:dyDescent="0.7">
      <c r="A83" s="2">
        <v>83</v>
      </c>
      <c r="B83" s="8" t="s">
        <v>339</v>
      </c>
      <c r="C83" s="10"/>
      <c r="D83" s="3"/>
      <c r="E83" s="3"/>
      <c r="F83" s="3"/>
      <c r="G83" s="3"/>
      <c r="H83" s="5"/>
    </row>
  </sheetData>
  <autoFilter ref="A1:H71" xr:uid="{00000000-0009-0000-0000-000007000000}"/>
  <mergeCells count="1">
    <mergeCell ref="G57:H57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I49"/>
  <sheetViews>
    <sheetView rightToLeft="1" zoomScale="110" zoomScaleNormal="110" workbookViewId="0">
      <pane ySplit="1" topLeftCell="A32" activePane="bottomLeft" state="frozen"/>
      <selection pane="bottomLeft" activeCell="F44" sqref="F44"/>
    </sheetView>
  </sheetViews>
  <sheetFormatPr defaultRowHeight="14.4" x14ac:dyDescent="0.3"/>
  <cols>
    <col min="1" max="1" width="5.5546875" bestFit="1" customWidth="1"/>
    <col min="2" max="2" width="14" customWidth="1"/>
    <col min="3" max="3" width="10.88671875" bestFit="1" customWidth="1"/>
    <col min="7" max="7" width="11.88671875" bestFit="1" customWidth="1"/>
    <col min="8" max="8" width="18.5546875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16</v>
      </c>
      <c r="C2" s="10" t="s">
        <v>50</v>
      </c>
      <c r="D2" s="3"/>
      <c r="E2" s="3">
        <v>1</v>
      </c>
      <c r="F2" s="3">
        <v>261</v>
      </c>
      <c r="G2" s="3" t="s">
        <v>51</v>
      </c>
      <c r="H2" s="5" t="s">
        <v>52</v>
      </c>
    </row>
    <row r="3" spans="1:8" ht="20.25" customHeight="1" x14ac:dyDescent="0.3">
      <c r="A3" s="2">
        <v>2</v>
      </c>
      <c r="B3" s="8"/>
      <c r="C3" s="10"/>
      <c r="D3" s="3"/>
      <c r="E3" s="3">
        <v>9</v>
      </c>
      <c r="F3" s="3">
        <f t="shared" ref="F3:F8" si="0">F2-E3</f>
        <v>252</v>
      </c>
      <c r="G3" s="46" t="s">
        <v>194</v>
      </c>
      <c r="H3" s="47"/>
    </row>
    <row r="4" spans="1:8" ht="21" x14ac:dyDescent="0.7">
      <c r="A4" s="2">
        <v>3</v>
      </c>
      <c r="B4" s="8" t="s">
        <v>16</v>
      </c>
      <c r="C4" s="10" t="s">
        <v>281</v>
      </c>
      <c r="D4" s="3"/>
      <c r="E4" s="3">
        <v>1</v>
      </c>
      <c r="F4" s="3">
        <f t="shared" si="0"/>
        <v>251</v>
      </c>
      <c r="G4" s="3">
        <v>3903</v>
      </c>
      <c r="H4" s="5" t="s">
        <v>284</v>
      </c>
    </row>
    <row r="5" spans="1:8" ht="21" x14ac:dyDescent="0.7">
      <c r="A5" s="2">
        <v>4</v>
      </c>
      <c r="B5" s="8" t="s">
        <v>16</v>
      </c>
      <c r="C5" s="10" t="s">
        <v>318</v>
      </c>
      <c r="D5" s="3"/>
      <c r="E5" s="3">
        <v>6</v>
      </c>
      <c r="F5" s="3">
        <f t="shared" si="0"/>
        <v>245</v>
      </c>
      <c r="G5" s="3" t="s">
        <v>319</v>
      </c>
      <c r="H5" s="5" t="s">
        <v>52</v>
      </c>
    </row>
    <row r="6" spans="1:8" ht="21" x14ac:dyDescent="0.7">
      <c r="A6" s="2">
        <v>5</v>
      </c>
      <c r="B6" s="8" t="s">
        <v>16</v>
      </c>
      <c r="C6" s="10" t="s">
        <v>332</v>
      </c>
      <c r="D6" s="3"/>
      <c r="E6" s="3">
        <v>12</v>
      </c>
      <c r="F6" s="3">
        <f t="shared" si="0"/>
        <v>233</v>
      </c>
      <c r="G6" s="3">
        <v>3984</v>
      </c>
      <c r="H6" s="5" t="s">
        <v>333</v>
      </c>
    </row>
    <row r="7" spans="1:8" ht="21" x14ac:dyDescent="0.7">
      <c r="A7" s="2">
        <v>6</v>
      </c>
      <c r="B7" s="8" t="s">
        <v>16</v>
      </c>
      <c r="C7" s="10" t="s">
        <v>358</v>
      </c>
      <c r="D7" s="3"/>
      <c r="E7" s="3">
        <v>2</v>
      </c>
      <c r="F7" s="3">
        <f t="shared" si="0"/>
        <v>231</v>
      </c>
      <c r="G7" s="3">
        <v>4016</v>
      </c>
      <c r="H7" s="5" t="s">
        <v>359</v>
      </c>
    </row>
    <row r="8" spans="1:8" ht="21" x14ac:dyDescent="0.7">
      <c r="A8" s="2">
        <v>7</v>
      </c>
      <c r="B8" s="8" t="s">
        <v>16</v>
      </c>
      <c r="C8" s="10" t="s">
        <v>362</v>
      </c>
      <c r="D8" s="3"/>
      <c r="E8" s="3">
        <v>10</v>
      </c>
      <c r="F8" s="3">
        <f t="shared" si="0"/>
        <v>221</v>
      </c>
      <c r="G8" s="3" t="s">
        <v>363</v>
      </c>
      <c r="H8" s="5" t="s">
        <v>52</v>
      </c>
    </row>
    <row r="9" spans="1:8" ht="21" x14ac:dyDescent="0.7">
      <c r="A9" s="2">
        <v>8</v>
      </c>
      <c r="B9" s="8" t="s">
        <v>16</v>
      </c>
      <c r="C9" s="10" t="s">
        <v>426</v>
      </c>
      <c r="D9" s="3"/>
      <c r="E9" s="3">
        <v>1</v>
      </c>
      <c r="F9" s="3">
        <f t="shared" ref="F9:F14" si="1">F8-E9</f>
        <v>220</v>
      </c>
      <c r="G9" s="3">
        <v>4120</v>
      </c>
      <c r="H9" s="5" t="s">
        <v>427</v>
      </c>
    </row>
    <row r="10" spans="1:8" ht="21" x14ac:dyDescent="0.7">
      <c r="A10" s="2">
        <v>9</v>
      </c>
      <c r="B10" s="8" t="s">
        <v>16</v>
      </c>
      <c r="C10" s="10" t="s">
        <v>437</v>
      </c>
      <c r="D10" s="3"/>
      <c r="E10" s="3">
        <v>2</v>
      </c>
      <c r="F10" s="3">
        <f t="shared" si="1"/>
        <v>218</v>
      </c>
      <c r="G10" s="3" t="s">
        <v>438</v>
      </c>
      <c r="H10" s="5" t="s">
        <v>49</v>
      </c>
    </row>
    <row r="11" spans="1:8" ht="21" x14ac:dyDescent="0.7">
      <c r="A11" s="2">
        <v>10</v>
      </c>
      <c r="B11" s="8" t="s">
        <v>16</v>
      </c>
      <c r="C11" s="10" t="s">
        <v>442</v>
      </c>
      <c r="D11" s="3"/>
      <c r="E11" s="3">
        <v>2</v>
      </c>
      <c r="F11" s="3">
        <f t="shared" si="1"/>
        <v>216</v>
      </c>
      <c r="G11" s="3" t="s">
        <v>443</v>
      </c>
      <c r="H11" s="5" t="s">
        <v>49</v>
      </c>
    </row>
    <row r="12" spans="1:8" ht="21" x14ac:dyDescent="0.7">
      <c r="A12" s="2">
        <v>11</v>
      </c>
      <c r="B12" s="8" t="s">
        <v>16</v>
      </c>
      <c r="C12" s="10" t="s">
        <v>448</v>
      </c>
      <c r="D12" s="3"/>
      <c r="E12" s="3">
        <v>3</v>
      </c>
      <c r="F12" s="3">
        <f t="shared" si="1"/>
        <v>213</v>
      </c>
      <c r="G12" s="3" t="s">
        <v>449</v>
      </c>
      <c r="H12" s="5" t="s">
        <v>52</v>
      </c>
    </row>
    <row r="13" spans="1:8" ht="21" x14ac:dyDescent="0.7">
      <c r="A13" s="2">
        <v>12</v>
      </c>
      <c r="B13" s="8" t="s">
        <v>16</v>
      </c>
      <c r="C13" s="10" t="s">
        <v>459</v>
      </c>
      <c r="D13" s="3"/>
      <c r="E13" s="3">
        <v>16</v>
      </c>
      <c r="F13" s="3">
        <f t="shared" si="1"/>
        <v>197</v>
      </c>
      <c r="G13" s="3">
        <v>4149</v>
      </c>
      <c r="H13" s="5" t="s">
        <v>460</v>
      </c>
    </row>
    <row r="14" spans="1:8" ht="21" x14ac:dyDescent="0.7">
      <c r="A14" s="2">
        <v>13</v>
      </c>
      <c r="B14" s="8" t="s">
        <v>16</v>
      </c>
      <c r="C14" s="10" t="s">
        <v>481</v>
      </c>
      <c r="D14" s="3"/>
      <c r="E14" s="3">
        <v>2</v>
      </c>
      <c r="F14" s="3">
        <f t="shared" si="1"/>
        <v>195</v>
      </c>
      <c r="G14" s="3">
        <v>4201</v>
      </c>
      <c r="H14" s="5" t="s">
        <v>485</v>
      </c>
    </row>
    <row r="15" spans="1:8" ht="21" x14ac:dyDescent="0.7">
      <c r="A15" s="2">
        <v>14</v>
      </c>
      <c r="B15" s="8" t="s">
        <v>16</v>
      </c>
      <c r="C15" s="10" t="s">
        <v>596</v>
      </c>
      <c r="D15" s="3"/>
      <c r="E15" s="3">
        <v>1</v>
      </c>
      <c r="F15" s="3">
        <f t="shared" ref="F15:F20" si="2">F14-E15</f>
        <v>194</v>
      </c>
      <c r="G15" s="3" t="s">
        <v>601</v>
      </c>
      <c r="H15" s="5" t="s">
        <v>52</v>
      </c>
    </row>
    <row r="16" spans="1:8" ht="21" x14ac:dyDescent="0.7">
      <c r="A16" s="2">
        <v>15</v>
      </c>
      <c r="B16" s="8" t="s">
        <v>16</v>
      </c>
      <c r="C16" s="10" t="s">
        <v>735</v>
      </c>
      <c r="D16" s="3"/>
      <c r="E16" s="3">
        <v>2</v>
      </c>
      <c r="F16" s="3">
        <f t="shared" si="2"/>
        <v>192</v>
      </c>
      <c r="G16" s="3">
        <v>4501</v>
      </c>
      <c r="H16" s="5" t="s">
        <v>427</v>
      </c>
    </row>
    <row r="17" spans="1:9" ht="21" x14ac:dyDescent="0.7">
      <c r="A17" s="2">
        <v>16</v>
      </c>
      <c r="B17" s="8" t="s">
        <v>16</v>
      </c>
      <c r="C17" s="10" t="s">
        <v>835</v>
      </c>
      <c r="D17" s="3"/>
      <c r="E17" s="3">
        <v>4</v>
      </c>
      <c r="F17" s="3">
        <f t="shared" si="2"/>
        <v>188</v>
      </c>
      <c r="G17" s="3" t="s">
        <v>836</v>
      </c>
      <c r="H17" s="5" t="s">
        <v>52</v>
      </c>
    </row>
    <row r="18" spans="1:9" ht="21" x14ac:dyDescent="0.7">
      <c r="A18" s="2">
        <v>17</v>
      </c>
      <c r="B18" s="8" t="s">
        <v>16</v>
      </c>
      <c r="C18" s="10" t="s">
        <v>867</v>
      </c>
      <c r="D18" s="3"/>
      <c r="E18" s="3">
        <v>3</v>
      </c>
      <c r="F18" s="3">
        <f t="shared" si="2"/>
        <v>185</v>
      </c>
      <c r="G18" s="3" t="s">
        <v>868</v>
      </c>
      <c r="H18" s="5" t="s">
        <v>52</v>
      </c>
    </row>
    <row r="19" spans="1:9" ht="21" x14ac:dyDescent="0.7">
      <c r="A19" s="2">
        <v>18</v>
      </c>
      <c r="B19" s="8" t="s">
        <v>16</v>
      </c>
      <c r="C19" s="10" t="s">
        <v>939</v>
      </c>
      <c r="D19" s="3"/>
      <c r="E19" s="3">
        <v>1</v>
      </c>
      <c r="F19" s="3">
        <f t="shared" si="2"/>
        <v>184</v>
      </c>
      <c r="G19" s="3">
        <v>4759</v>
      </c>
      <c r="H19" s="5" t="s">
        <v>940</v>
      </c>
    </row>
    <row r="20" spans="1:9" ht="21" x14ac:dyDescent="0.7">
      <c r="A20" s="2">
        <v>19</v>
      </c>
      <c r="B20" s="8" t="s">
        <v>16</v>
      </c>
      <c r="C20" s="10" t="s">
        <v>971</v>
      </c>
      <c r="D20" s="3"/>
      <c r="E20" s="3">
        <v>2</v>
      </c>
      <c r="F20" s="3">
        <f t="shared" si="2"/>
        <v>182</v>
      </c>
      <c r="G20" s="3">
        <v>4810</v>
      </c>
      <c r="H20" s="5" t="s">
        <v>972</v>
      </c>
    </row>
    <row r="21" spans="1:9" ht="21" x14ac:dyDescent="0.7">
      <c r="A21" s="2">
        <v>20</v>
      </c>
      <c r="B21" s="8" t="s">
        <v>16</v>
      </c>
      <c r="C21" s="10" t="s">
        <v>984</v>
      </c>
      <c r="D21" s="3"/>
      <c r="E21" s="3">
        <v>1</v>
      </c>
      <c r="F21" s="3">
        <f t="shared" ref="F21:F26" si="3">F20-E21</f>
        <v>181</v>
      </c>
      <c r="G21" s="3">
        <v>4851</v>
      </c>
      <c r="H21" s="5" t="s">
        <v>988</v>
      </c>
    </row>
    <row r="22" spans="1:9" ht="21" x14ac:dyDescent="0.7">
      <c r="A22" s="2">
        <v>21</v>
      </c>
      <c r="B22" s="8" t="s">
        <v>16</v>
      </c>
      <c r="C22" s="10" t="s">
        <v>1148</v>
      </c>
      <c r="D22" s="3"/>
      <c r="E22" s="3">
        <v>3</v>
      </c>
      <c r="F22" s="3">
        <f t="shared" si="3"/>
        <v>178</v>
      </c>
      <c r="G22" s="3" t="s">
        <v>1149</v>
      </c>
      <c r="H22" s="5" t="s">
        <v>49</v>
      </c>
    </row>
    <row r="23" spans="1:9" ht="21" x14ac:dyDescent="0.7">
      <c r="A23" s="2">
        <v>22</v>
      </c>
      <c r="B23" s="8" t="s">
        <v>16</v>
      </c>
      <c r="C23" s="10" t="s">
        <v>1198</v>
      </c>
      <c r="D23" s="3"/>
      <c r="E23" s="3">
        <v>6</v>
      </c>
      <c r="F23" s="3">
        <f t="shared" si="3"/>
        <v>172</v>
      </c>
      <c r="G23" s="3">
        <v>5171</v>
      </c>
      <c r="H23" s="5" t="s">
        <v>639</v>
      </c>
    </row>
    <row r="24" spans="1:9" ht="21" x14ac:dyDescent="0.7">
      <c r="A24" s="2">
        <v>23</v>
      </c>
      <c r="B24" s="8" t="s">
        <v>16</v>
      </c>
      <c r="C24" s="10" t="s">
        <v>1262</v>
      </c>
      <c r="D24" s="3"/>
      <c r="E24" s="3">
        <v>3</v>
      </c>
      <c r="F24" s="3">
        <f t="shared" si="3"/>
        <v>169</v>
      </c>
      <c r="G24" s="3" t="s">
        <v>1263</v>
      </c>
      <c r="H24" s="5" t="s">
        <v>52</v>
      </c>
    </row>
    <row r="25" spans="1:9" ht="21" x14ac:dyDescent="0.7">
      <c r="A25" s="2">
        <v>24</v>
      </c>
      <c r="B25" s="8" t="s">
        <v>16</v>
      </c>
      <c r="C25" s="10" t="s">
        <v>1375</v>
      </c>
      <c r="D25" s="3"/>
      <c r="E25" s="3">
        <v>10</v>
      </c>
      <c r="F25" s="3">
        <f t="shared" si="3"/>
        <v>159</v>
      </c>
      <c r="G25" s="3">
        <v>5390</v>
      </c>
      <c r="H25" s="5" t="s">
        <v>930</v>
      </c>
      <c r="I25" t="s">
        <v>1346</v>
      </c>
    </row>
    <row r="26" spans="1:9" ht="21" x14ac:dyDescent="0.7">
      <c r="A26" s="2">
        <v>25</v>
      </c>
      <c r="B26" s="8" t="s">
        <v>16</v>
      </c>
      <c r="C26" s="10" t="s">
        <v>1459</v>
      </c>
      <c r="D26" s="3"/>
      <c r="E26" s="3">
        <v>5</v>
      </c>
      <c r="F26" s="3">
        <f t="shared" si="3"/>
        <v>154</v>
      </c>
      <c r="G26" s="3" t="s">
        <v>1460</v>
      </c>
      <c r="H26" s="5" t="s">
        <v>52</v>
      </c>
    </row>
    <row r="27" spans="1:9" ht="21" x14ac:dyDescent="0.7">
      <c r="A27" s="2">
        <v>26</v>
      </c>
      <c r="B27" s="8" t="s">
        <v>16</v>
      </c>
      <c r="C27" s="10" t="s">
        <v>1479</v>
      </c>
      <c r="D27" s="3"/>
      <c r="E27" s="3">
        <v>1</v>
      </c>
      <c r="F27" s="3">
        <f t="shared" ref="F27:F32" si="4">F26-E27</f>
        <v>153</v>
      </c>
      <c r="G27" s="3">
        <v>5481</v>
      </c>
      <c r="H27" s="5" t="s">
        <v>933</v>
      </c>
    </row>
    <row r="28" spans="1:9" ht="21" x14ac:dyDescent="0.7">
      <c r="A28" s="2">
        <v>27</v>
      </c>
      <c r="B28" s="8" t="s">
        <v>16</v>
      </c>
      <c r="C28" s="10" t="s">
        <v>1481</v>
      </c>
      <c r="D28" s="3"/>
      <c r="E28" s="3">
        <v>2</v>
      </c>
      <c r="F28" s="3">
        <f t="shared" si="4"/>
        <v>151</v>
      </c>
      <c r="G28" s="3">
        <v>5495</v>
      </c>
      <c r="H28" s="5" t="s">
        <v>485</v>
      </c>
    </row>
    <row r="29" spans="1:9" ht="21" x14ac:dyDescent="0.7">
      <c r="A29" s="2">
        <v>28</v>
      </c>
      <c r="B29" s="8" t="s">
        <v>16</v>
      </c>
      <c r="C29" s="10" t="s">
        <v>1486</v>
      </c>
      <c r="D29" s="3"/>
      <c r="E29" s="3">
        <v>1</v>
      </c>
      <c r="F29" s="3">
        <f t="shared" si="4"/>
        <v>150</v>
      </c>
      <c r="G29" s="3" t="s">
        <v>1487</v>
      </c>
      <c r="H29" s="5" t="s">
        <v>52</v>
      </c>
    </row>
    <row r="30" spans="1:9" ht="21" x14ac:dyDescent="0.7">
      <c r="A30" s="2">
        <v>29</v>
      </c>
      <c r="B30" s="8" t="s">
        <v>16</v>
      </c>
      <c r="C30" s="10" t="s">
        <v>1602</v>
      </c>
      <c r="D30" s="3"/>
      <c r="E30" s="3">
        <v>1</v>
      </c>
      <c r="F30" s="3">
        <f t="shared" si="4"/>
        <v>149</v>
      </c>
      <c r="G30" s="3">
        <v>5681</v>
      </c>
      <c r="H30" s="5" t="s">
        <v>359</v>
      </c>
    </row>
    <row r="31" spans="1:9" ht="21" x14ac:dyDescent="0.7">
      <c r="A31" s="2">
        <v>30</v>
      </c>
      <c r="B31" s="8" t="s">
        <v>16</v>
      </c>
      <c r="C31" s="10" t="s">
        <v>1649</v>
      </c>
      <c r="D31" s="3"/>
      <c r="E31" s="3">
        <v>2</v>
      </c>
      <c r="F31" s="3">
        <f t="shared" si="4"/>
        <v>147</v>
      </c>
      <c r="G31" s="3" t="s">
        <v>1650</v>
      </c>
      <c r="H31" s="5" t="s">
        <v>52</v>
      </c>
    </row>
    <row r="32" spans="1:9" ht="21" x14ac:dyDescent="0.7">
      <c r="A32" s="2">
        <v>31</v>
      </c>
      <c r="B32" s="8" t="s">
        <v>16</v>
      </c>
      <c r="C32" s="10" t="s">
        <v>1670</v>
      </c>
      <c r="D32" s="3"/>
      <c r="E32" s="3">
        <v>1</v>
      </c>
      <c r="F32" s="3">
        <f t="shared" si="4"/>
        <v>146</v>
      </c>
      <c r="G32" s="3" t="s">
        <v>1671</v>
      </c>
      <c r="H32" s="5" t="s">
        <v>52</v>
      </c>
    </row>
    <row r="33" spans="1:9" ht="21" x14ac:dyDescent="0.7">
      <c r="A33" s="2">
        <v>32</v>
      </c>
      <c r="B33" s="8" t="s">
        <v>16</v>
      </c>
      <c r="C33" s="10" t="s">
        <v>1678</v>
      </c>
      <c r="D33" s="3"/>
      <c r="E33" s="3">
        <v>10</v>
      </c>
      <c r="F33" s="3">
        <f t="shared" ref="F33:F38" si="5">F32-E33</f>
        <v>136</v>
      </c>
      <c r="G33" s="3" t="s">
        <v>1679</v>
      </c>
      <c r="H33" s="5" t="s">
        <v>52</v>
      </c>
    </row>
    <row r="34" spans="1:9" ht="21" x14ac:dyDescent="0.7">
      <c r="A34" s="2">
        <v>33</v>
      </c>
      <c r="B34" s="8" t="s">
        <v>16</v>
      </c>
      <c r="C34" s="10" t="s">
        <v>1719</v>
      </c>
      <c r="D34" s="3"/>
      <c r="E34" s="3">
        <v>2</v>
      </c>
      <c r="F34" s="3">
        <f t="shared" si="5"/>
        <v>134</v>
      </c>
      <c r="G34" s="3" t="s">
        <v>1720</v>
      </c>
      <c r="H34" s="5" t="s">
        <v>52</v>
      </c>
    </row>
    <row r="35" spans="1:9" ht="21" x14ac:dyDescent="0.7">
      <c r="A35" s="2">
        <v>34</v>
      </c>
      <c r="B35" s="8" t="s">
        <v>16</v>
      </c>
      <c r="C35" s="10" t="s">
        <v>1738</v>
      </c>
      <c r="D35" s="3"/>
      <c r="E35" s="3">
        <v>1</v>
      </c>
      <c r="F35" s="3">
        <f t="shared" si="5"/>
        <v>133</v>
      </c>
      <c r="G35" s="3" t="s">
        <v>1739</v>
      </c>
      <c r="H35" s="5" t="s">
        <v>52</v>
      </c>
    </row>
    <row r="36" spans="1:9" ht="21" x14ac:dyDescent="0.7">
      <c r="A36" s="2">
        <v>35</v>
      </c>
      <c r="B36" s="8" t="s">
        <v>16</v>
      </c>
      <c r="C36" s="10" t="s">
        <v>2002</v>
      </c>
      <c r="D36" s="3"/>
      <c r="E36" s="3">
        <v>1</v>
      </c>
      <c r="F36" s="3">
        <f t="shared" si="5"/>
        <v>132</v>
      </c>
      <c r="G36" s="3">
        <v>6274</v>
      </c>
      <c r="H36" s="5" t="s">
        <v>2005</v>
      </c>
    </row>
    <row r="37" spans="1:9" ht="21" x14ac:dyDescent="0.7">
      <c r="A37" s="2">
        <v>36</v>
      </c>
      <c r="B37" s="8" t="s">
        <v>16</v>
      </c>
      <c r="C37" s="10" t="s">
        <v>2090</v>
      </c>
      <c r="D37" s="3"/>
      <c r="E37" s="3"/>
      <c r="F37" s="3">
        <f t="shared" si="5"/>
        <v>132</v>
      </c>
      <c r="G37" s="3" t="s">
        <v>2091</v>
      </c>
      <c r="H37" s="5" t="s">
        <v>300</v>
      </c>
      <c r="I37" t="s">
        <v>2092</v>
      </c>
    </row>
    <row r="38" spans="1:9" ht="21" x14ac:dyDescent="0.7">
      <c r="A38" s="2">
        <v>37</v>
      </c>
      <c r="B38" s="8" t="s">
        <v>16</v>
      </c>
      <c r="C38" s="10" t="s">
        <v>2090</v>
      </c>
      <c r="D38" s="3"/>
      <c r="E38" s="3">
        <v>6</v>
      </c>
      <c r="F38" s="3">
        <f t="shared" si="5"/>
        <v>126</v>
      </c>
      <c r="G38" s="3">
        <v>6363</v>
      </c>
      <c r="H38" s="5" t="s">
        <v>300</v>
      </c>
    </row>
    <row r="39" spans="1:9" ht="21" x14ac:dyDescent="0.7">
      <c r="A39" s="2">
        <v>38</v>
      </c>
      <c r="B39" s="8" t="s">
        <v>16</v>
      </c>
      <c r="C39" s="10" t="s">
        <v>2129</v>
      </c>
      <c r="D39" s="3"/>
      <c r="E39" s="3">
        <v>2</v>
      </c>
      <c r="F39" s="3">
        <f>F38-E39</f>
        <v>124</v>
      </c>
      <c r="G39" s="3">
        <v>6422</v>
      </c>
      <c r="H39" s="5" t="s">
        <v>2130</v>
      </c>
    </row>
    <row r="40" spans="1:9" ht="21" x14ac:dyDescent="0.7">
      <c r="A40" s="2">
        <v>39</v>
      </c>
      <c r="B40" s="8" t="s">
        <v>16</v>
      </c>
      <c r="C40" s="10" t="s">
        <v>2152</v>
      </c>
      <c r="D40" s="3"/>
      <c r="E40" s="3">
        <v>30</v>
      </c>
      <c r="F40" s="3">
        <f>F39-E40</f>
        <v>94</v>
      </c>
      <c r="G40" s="3">
        <v>6443</v>
      </c>
      <c r="H40" s="5" t="s">
        <v>300</v>
      </c>
    </row>
    <row r="41" spans="1:9" ht="21" x14ac:dyDescent="0.7">
      <c r="A41" s="2">
        <v>40</v>
      </c>
      <c r="B41" s="8" t="s">
        <v>16</v>
      </c>
      <c r="C41" s="10" t="s">
        <v>2152</v>
      </c>
      <c r="D41" s="3"/>
      <c r="E41" s="3">
        <v>30</v>
      </c>
      <c r="F41" s="3">
        <f>F40-E41</f>
        <v>64</v>
      </c>
      <c r="G41" s="3">
        <v>6443</v>
      </c>
      <c r="H41" s="5" t="s">
        <v>300</v>
      </c>
      <c r="I41" t="s">
        <v>774</v>
      </c>
    </row>
    <row r="42" spans="1:9" ht="21" x14ac:dyDescent="0.7">
      <c r="A42" s="2">
        <v>41</v>
      </c>
      <c r="B42" s="8" t="s">
        <v>16</v>
      </c>
      <c r="C42" s="10" t="s">
        <v>2189</v>
      </c>
      <c r="D42" s="3"/>
      <c r="E42" s="3">
        <v>30</v>
      </c>
      <c r="F42" s="3">
        <f>F41-E42</f>
        <v>34</v>
      </c>
      <c r="G42" s="3">
        <v>6507</v>
      </c>
      <c r="H42" s="5" t="s">
        <v>300</v>
      </c>
    </row>
    <row r="43" spans="1:9" ht="21" x14ac:dyDescent="0.7">
      <c r="A43" s="2">
        <v>42</v>
      </c>
      <c r="B43" s="8" t="s">
        <v>16</v>
      </c>
      <c r="C43" s="10" t="s">
        <v>2189</v>
      </c>
      <c r="D43" s="3"/>
      <c r="E43" s="3">
        <v>30</v>
      </c>
      <c r="F43" s="3">
        <f>F42-E43</f>
        <v>4</v>
      </c>
      <c r="G43" s="3"/>
      <c r="H43" s="5" t="s">
        <v>300</v>
      </c>
    </row>
    <row r="44" spans="1:9" ht="21" x14ac:dyDescent="0.7">
      <c r="A44" s="2">
        <v>43</v>
      </c>
      <c r="B44" s="8" t="s">
        <v>16</v>
      </c>
      <c r="C44" s="10"/>
      <c r="D44" s="3"/>
      <c r="E44" s="3"/>
      <c r="F44" s="3"/>
      <c r="G44" s="3"/>
      <c r="H44" s="5"/>
    </row>
    <row r="45" spans="1:9" ht="21" x14ac:dyDescent="0.7">
      <c r="A45" s="2">
        <v>44</v>
      </c>
      <c r="B45" s="8" t="s">
        <v>16</v>
      </c>
      <c r="C45" s="10"/>
      <c r="D45" s="3"/>
      <c r="E45" s="3"/>
      <c r="F45" s="3"/>
      <c r="G45" s="3"/>
      <c r="H45" s="5"/>
    </row>
    <row r="46" spans="1:9" ht="21" x14ac:dyDescent="0.7">
      <c r="A46" s="2">
        <v>45</v>
      </c>
      <c r="B46" s="8" t="s">
        <v>16</v>
      </c>
      <c r="C46" s="10"/>
      <c r="D46" s="3"/>
      <c r="E46" s="3"/>
      <c r="F46" s="3"/>
      <c r="G46" s="3"/>
      <c r="H46" s="5"/>
    </row>
    <row r="49" spans="6:6" x14ac:dyDescent="0.3">
      <c r="F49" t="s">
        <v>2156</v>
      </c>
    </row>
  </sheetData>
  <mergeCells count="1">
    <mergeCell ref="G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59999389629810485"/>
  </sheetPr>
  <dimension ref="A1:I55"/>
  <sheetViews>
    <sheetView rightToLeft="1" zoomScale="130" zoomScaleNormal="130" workbookViewId="0">
      <pane ySplit="1" topLeftCell="A47" activePane="bottomLeft" state="frozen"/>
      <selection pane="bottomLeft" activeCell="G53" sqref="G53"/>
    </sheetView>
  </sheetViews>
  <sheetFormatPr defaultRowHeight="14.4" x14ac:dyDescent="0.3"/>
  <cols>
    <col min="2" max="2" width="12.5546875" bestFit="1" customWidth="1"/>
    <col min="3" max="3" width="10.88671875" bestFit="1" customWidth="1"/>
    <col min="7" max="7" width="11.88671875" bestFit="1" customWidth="1"/>
    <col min="8" max="8" width="19.4414062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17</v>
      </c>
      <c r="C2" s="10" t="s">
        <v>53</v>
      </c>
      <c r="D2" s="3"/>
      <c r="E2" s="3">
        <v>1</v>
      </c>
      <c r="F2" s="3">
        <v>165</v>
      </c>
      <c r="G2" s="3" t="s">
        <v>54</v>
      </c>
      <c r="H2" s="5" t="s">
        <v>55</v>
      </c>
    </row>
    <row r="3" spans="1:8" ht="21" x14ac:dyDescent="0.7">
      <c r="A3" s="2">
        <v>2</v>
      </c>
      <c r="B3" s="8" t="s">
        <v>17</v>
      </c>
      <c r="C3" s="10" t="s">
        <v>122</v>
      </c>
      <c r="D3" s="3"/>
      <c r="E3" s="3">
        <v>3</v>
      </c>
      <c r="F3" s="3">
        <f t="shared" ref="F3:F8" si="0">F2-E3</f>
        <v>162</v>
      </c>
      <c r="G3" s="3" t="s">
        <v>123</v>
      </c>
      <c r="H3" s="5" t="s">
        <v>55</v>
      </c>
    </row>
    <row r="4" spans="1:8" ht="20.25" customHeight="1" x14ac:dyDescent="0.3">
      <c r="A4" s="2">
        <v>3</v>
      </c>
      <c r="B4" s="8"/>
      <c r="C4" s="10"/>
      <c r="D4" s="3"/>
      <c r="E4" s="3">
        <v>10</v>
      </c>
      <c r="F4" s="3">
        <f t="shared" si="0"/>
        <v>152</v>
      </c>
      <c r="G4" s="46" t="s">
        <v>194</v>
      </c>
      <c r="H4" s="47"/>
    </row>
    <row r="5" spans="1:8" ht="21" x14ac:dyDescent="0.7">
      <c r="A5" s="2">
        <v>4</v>
      </c>
      <c r="B5" s="8" t="s">
        <v>17</v>
      </c>
      <c r="C5" s="10" t="s">
        <v>156</v>
      </c>
      <c r="D5" s="3"/>
      <c r="E5" s="3">
        <v>1</v>
      </c>
      <c r="F5" s="3">
        <f t="shared" si="0"/>
        <v>151</v>
      </c>
      <c r="G5" s="3" t="s">
        <v>157</v>
      </c>
      <c r="H5" s="5" t="s">
        <v>55</v>
      </c>
    </row>
    <row r="6" spans="1:8" ht="21" x14ac:dyDescent="0.7">
      <c r="A6" s="2">
        <v>5</v>
      </c>
      <c r="B6" s="8" t="s">
        <v>17</v>
      </c>
      <c r="C6" s="10" t="s">
        <v>188</v>
      </c>
      <c r="D6" s="3"/>
      <c r="E6" s="3">
        <v>4</v>
      </c>
      <c r="F6" s="3">
        <f t="shared" si="0"/>
        <v>147</v>
      </c>
      <c r="G6" s="3" t="s">
        <v>189</v>
      </c>
      <c r="H6" s="5" t="s">
        <v>55</v>
      </c>
    </row>
    <row r="7" spans="1:8" ht="21" x14ac:dyDescent="0.7">
      <c r="A7" s="2">
        <v>6</v>
      </c>
      <c r="B7" s="8" t="s">
        <v>17</v>
      </c>
      <c r="C7" s="10" t="s">
        <v>224</v>
      </c>
      <c r="D7" s="3"/>
      <c r="E7" s="3">
        <v>19</v>
      </c>
      <c r="F7" s="3">
        <f t="shared" si="0"/>
        <v>128</v>
      </c>
      <c r="G7" s="3" t="s">
        <v>225</v>
      </c>
      <c r="H7" s="5" t="s">
        <v>55</v>
      </c>
    </row>
    <row r="8" spans="1:8" ht="21" x14ac:dyDescent="0.7">
      <c r="A8" s="2">
        <v>7</v>
      </c>
      <c r="B8" s="8" t="s">
        <v>17</v>
      </c>
      <c r="C8" s="10" t="s">
        <v>255</v>
      </c>
      <c r="D8" s="3"/>
      <c r="E8" s="3">
        <v>5</v>
      </c>
      <c r="F8" s="3">
        <f t="shared" si="0"/>
        <v>123</v>
      </c>
      <c r="G8" s="3" t="s">
        <v>256</v>
      </c>
      <c r="H8" s="5" t="s">
        <v>55</v>
      </c>
    </row>
    <row r="9" spans="1:8" ht="21" x14ac:dyDescent="0.7">
      <c r="A9" s="2">
        <v>8</v>
      </c>
      <c r="B9" s="8" t="s">
        <v>17</v>
      </c>
      <c r="C9" s="10" t="s">
        <v>464</v>
      </c>
      <c r="D9" s="3"/>
      <c r="E9" s="3">
        <v>10</v>
      </c>
      <c r="F9" s="3">
        <f t="shared" ref="F9:F14" si="1">F8-E9</f>
        <v>113</v>
      </c>
      <c r="G9" s="3">
        <v>4151</v>
      </c>
      <c r="H9" s="5" t="s">
        <v>465</v>
      </c>
    </row>
    <row r="10" spans="1:8" ht="21" x14ac:dyDescent="0.7">
      <c r="A10" s="2">
        <v>9</v>
      </c>
      <c r="B10" s="8" t="s">
        <v>17</v>
      </c>
      <c r="C10" s="10" t="s">
        <v>538</v>
      </c>
      <c r="D10" s="3"/>
      <c r="E10" s="3">
        <v>1</v>
      </c>
      <c r="F10" s="3">
        <f t="shared" si="1"/>
        <v>112</v>
      </c>
      <c r="G10" s="3" t="s">
        <v>539</v>
      </c>
      <c r="H10" s="5" t="s">
        <v>55</v>
      </c>
    </row>
    <row r="11" spans="1:8" ht="21" x14ac:dyDescent="0.7">
      <c r="A11" s="2">
        <v>10</v>
      </c>
      <c r="B11" s="8" t="s">
        <v>17</v>
      </c>
      <c r="C11" s="10" t="s">
        <v>546</v>
      </c>
      <c r="D11" s="3"/>
      <c r="E11" s="3">
        <v>3</v>
      </c>
      <c r="F11" s="3">
        <f t="shared" si="1"/>
        <v>109</v>
      </c>
      <c r="G11" s="3">
        <v>4248</v>
      </c>
      <c r="H11" s="5" t="s">
        <v>547</v>
      </c>
    </row>
    <row r="12" spans="1:8" ht="21" x14ac:dyDescent="0.7">
      <c r="A12" s="2">
        <v>11</v>
      </c>
      <c r="B12" s="8" t="s">
        <v>17</v>
      </c>
      <c r="C12" s="10" t="s">
        <v>621</v>
      </c>
      <c r="D12" s="3"/>
      <c r="E12" s="3">
        <v>2</v>
      </c>
      <c r="F12" s="3">
        <f t="shared" si="1"/>
        <v>107</v>
      </c>
      <c r="G12" s="3" t="s">
        <v>622</v>
      </c>
      <c r="H12" s="5" t="s">
        <v>55</v>
      </c>
    </row>
    <row r="13" spans="1:8" ht="21" x14ac:dyDescent="0.7">
      <c r="A13" s="2">
        <v>12</v>
      </c>
      <c r="B13" s="8" t="s">
        <v>17</v>
      </c>
      <c r="C13" s="10" t="s">
        <v>629</v>
      </c>
      <c r="D13" s="3"/>
      <c r="E13" s="3">
        <v>1</v>
      </c>
      <c r="F13" s="3">
        <f t="shared" si="1"/>
        <v>106</v>
      </c>
      <c r="G13" s="3" t="s">
        <v>630</v>
      </c>
      <c r="H13" s="5" t="s">
        <v>452</v>
      </c>
    </row>
    <row r="14" spans="1:8" ht="21" x14ac:dyDescent="0.7">
      <c r="A14" s="2">
        <v>13</v>
      </c>
      <c r="B14" s="8" t="s">
        <v>17</v>
      </c>
      <c r="C14" s="10" t="s">
        <v>651</v>
      </c>
      <c r="D14" s="3"/>
      <c r="E14" s="3">
        <v>10</v>
      </c>
      <c r="F14" s="3">
        <f t="shared" si="1"/>
        <v>96</v>
      </c>
      <c r="G14" s="3" t="s">
        <v>652</v>
      </c>
      <c r="H14" s="5" t="s">
        <v>55</v>
      </c>
    </row>
    <row r="15" spans="1:8" ht="21" x14ac:dyDescent="0.7">
      <c r="A15" s="2">
        <v>14</v>
      </c>
      <c r="B15" s="8" t="s">
        <v>17</v>
      </c>
      <c r="C15" s="10" t="s">
        <v>651</v>
      </c>
      <c r="D15" s="3"/>
      <c r="E15" s="3">
        <v>5</v>
      </c>
      <c r="F15" s="3">
        <f t="shared" ref="F15:F20" si="2">F14-E15</f>
        <v>91</v>
      </c>
      <c r="G15" s="3" t="s">
        <v>653</v>
      </c>
      <c r="H15" s="5" t="s">
        <v>55</v>
      </c>
    </row>
    <row r="16" spans="1:8" ht="21" x14ac:dyDescent="0.7">
      <c r="A16" s="2">
        <v>15</v>
      </c>
      <c r="B16" s="8" t="s">
        <v>17</v>
      </c>
      <c r="C16" s="10" t="s">
        <v>730</v>
      </c>
      <c r="D16" s="3"/>
      <c r="E16" s="3">
        <v>7</v>
      </c>
      <c r="F16" s="3">
        <f t="shared" si="2"/>
        <v>84</v>
      </c>
      <c r="G16" s="3" t="s">
        <v>731</v>
      </c>
      <c r="H16" s="5" t="s">
        <v>55</v>
      </c>
    </row>
    <row r="17" spans="1:8" ht="21" x14ac:dyDescent="0.7">
      <c r="A17" s="2">
        <v>16</v>
      </c>
      <c r="B17" s="8" t="s">
        <v>17</v>
      </c>
      <c r="C17" s="10" t="s">
        <v>869</v>
      </c>
      <c r="D17" s="3"/>
      <c r="E17" s="3">
        <v>1</v>
      </c>
      <c r="F17" s="3">
        <f t="shared" si="2"/>
        <v>83</v>
      </c>
      <c r="G17" s="3">
        <v>4692</v>
      </c>
      <c r="H17" s="5" t="s">
        <v>870</v>
      </c>
    </row>
    <row r="18" spans="1:8" ht="21" x14ac:dyDescent="0.7">
      <c r="A18" s="2">
        <v>17</v>
      </c>
      <c r="B18" s="8" t="s">
        <v>17</v>
      </c>
      <c r="C18" s="10" t="s">
        <v>1047</v>
      </c>
      <c r="D18" s="3"/>
      <c r="E18" s="3">
        <v>2</v>
      </c>
      <c r="F18" s="3">
        <f t="shared" si="2"/>
        <v>81</v>
      </c>
      <c r="G18" s="3">
        <v>4941</v>
      </c>
      <c r="H18" s="5" t="s">
        <v>1052</v>
      </c>
    </row>
    <row r="19" spans="1:8" ht="21" x14ac:dyDescent="0.7">
      <c r="A19" s="2">
        <v>18</v>
      </c>
      <c r="B19" s="8" t="s">
        <v>17</v>
      </c>
      <c r="C19" s="10" t="s">
        <v>1064</v>
      </c>
      <c r="D19" s="3"/>
      <c r="E19" s="3">
        <v>8</v>
      </c>
      <c r="F19" s="3">
        <f t="shared" si="2"/>
        <v>73</v>
      </c>
      <c r="G19" s="3" t="s">
        <v>1065</v>
      </c>
      <c r="H19" s="5" t="s">
        <v>49</v>
      </c>
    </row>
    <row r="20" spans="1:8" ht="21" x14ac:dyDescent="0.7">
      <c r="A20" s="2">
        <v>19</v>
      </c>
      <c r="B20" s="8" t="s">
        <v>17</v>
      </c>
      <c r="C20" s="10" t="s">
        <v>1093</v>
      </c>
      <c r="D20" s="3"/>
      <c r="E20" s="3">
        <v>4</v>
      </c>
      <c r="F20" s="3">
        <f t="shared" si="2"/>
        <v>69</v>
      </c>
      <c r="G20" s="3">
        <v>5026</v>
      </c>
      <c r="H20" s="5" t="s">
        <v>1097</v>
      </c>
    </row>
    <row r="21" spans="1:8" ht="21" x14ac:dyDescent="0.7">
      <c r="A21" s="2">
        <v>20</v>
      </c>
      <c r="B21" s="8" t="s">
        <v>17</v>
      </c>
      <c r="C21" s="10" t="s">
        <v>1098</v>
      </c>
      <c r="D21" s="3"/>
      <c r="E21" s="3">
        <v>1</v>
      </c>
      <c r="F21" s="3">
        <f t="shared" ref="F21:F26" si="3">F20-E21</f>
        <v>68</v>
      </c>
      <c r="G21" s="3" t="s">
        <v>1099</v>
      </c>
      <c r="H21" s="5" t="s">
        <v>55</v>
      </c>
    </row>
    <row r="22" spans="1:8" ht="21" x14ac:dyDescent="0.7">
      <c r="A22" s="2">
        <v>21</v>
      </c>
      <c r="B22" s="8" t="s">
        <v>17</v>
      </c>
      <c r="C22" s="10" t="s">
        <v>1102</v>
      </c>
      <c r="D22" s="3"/>
      <c r="E22" s="3">
        <v>2</v>
      </c>
      <c r="F22" s="3">
        <f t="shared" si="3"/>
        <v>66</v>
      </c>
      <c r="G22" s="3" t="s">
        <v>1103</v>
      </c>
      <c r="H22" s="5" t="s">
        <v>55</v>
      </c>
    </row>
    <row r="23" spans="1:8" ht="21" x14ac:dyDescent="0.7">
      <c r="A23" s="2">
        <v>22</v>
      </c>
      <c r="B23" s="8" t="s">
        <v>17</v>
      </c>
      <c r="C23" s="10" t="s">
        <v>1105</v>
      </c>
      <c r="D23" s="3"/>
      <c r="E23" s="3">
        <v>1</v>
      </c>
      <c r="F23" s="3">
        <f t="shared" si="3"/>
        <v>65</v>
      </c>
      <c r="G23" s="3" t="s">
        <v>1106</v>
      </c>
      <c r="H23" s="5" t="s">
        <v>49</v>
      </c>
    </row>
    <row r="24" spans="1:8" ht="21" x14ac:dyDescent="0.7">
      <c r="A24" s="2">
        <v>23</v>
      </c>
      <c r="B24" s="8" t="s">
        <v>17</v>
      </c>
      <c r="C24" s="10" t="s">
        <v>1133</v>
      </c>
      <c r="D24" s="3"/>
      <c r="E24" s="3">
        <v>8</v>
      </c>
      <c r="F24" s="3">
        <f t="shared" si="3"/>
        <v>57</v>
      </c>
      <c r="G24" s="3">
        <v>5098</v>
      </c>
      <c r="H24" s="5" t="s">
        <v>1142</v>
      </c>
    </row>
    <row r="25" spans="1:8" ht="21" x14ac:dyDescent="0.7">
      <c r="A25" s="2">
        <v>24</v>
      </c>
      <c r="B25" s="8" t="s">
        <v>17</v>
      </c>
      <c r="C25" s="10" t="s">
        <v>1147</v>
      </c>
      <c r="D25" s="3"/>
      <c r="E25" s="3">
        <v>20</v>
      </c>
      <c r="F25" s="3">
        <f t="shared" si="3"/>
        <v>37</v>
      </c>
      <c r="G25" s="3">
        <v>5103</v>
      </c>
      <c r="H25" s="5" t="s">
        <v>43</v>
      </c>
    </row>
    <row r="26" spans="1:8" ht="21" x14ac:dyDescent="0.7">
      <c r="A26" s="2">
        <v>25</v>
      </c>
      <c r="B26" s="8" t="s">
        <v>17</v>
      </c>
      <c r="C26" s="10" t="s">
        <v>1150</v>
      </c>
      <c r="D26" s="3"/>
      <c r="E26" s="3">
        <v>2</v>
      </c>
      <c r="F26" s="3">
        <f t="shared" si="3"/>
        <v>35</v>
      </c>
      <c r="G26" s="3">
        <v>5104</v>
      </c>
      <c r="H26" s="5" t="s">
        <v>842</v>
      </c>
    </row>
    <row r="27" spans="1:8" ht="21" x14ac:dyDescent="0.7">
      <c r="A27" s="2">
        <v>26</v>
      </c>
      <c r="B27" s="8" t="s">
        <v>17</v>
      </c>
      <c r="C27" s="10" t="s">
        <v>1323</v>
      </c>
      <c r="D27" s="3"/>
      <c r="E27" s="3">
        <v>5</v>
      </c>
      <c r="F27" s="3">
        <f t="shared" ref="F27:F32" si="4">F26-E27</f>
        <v>30</v>
      </c>
      <c r="G27" s="3">
        <v>5322</v>
      </c>
      <c r="H27" s="5" t="s">
        <v>71</v>
      </c>
    </row>
    <row r="28" spans="1:8" ht="21" x14ac:dyDescent="0.7">
      <c r="A28" s="2">
        <v>27</v>
      </c>
      <c r="B28" s="8" t="s">
        <v>17</v>
      </c>
      <c r="C28" s="10" t="s">
        <v>1351</v>
      </c>
      <c r="D28" s="3"/>
      <c r="E28" s="3">
        <v>1</v>
      </c>
      <c r="F28" s="3">
        <f t="shared" si="4"/>
        <v>29</v>
      </c>
      <c r="G28" s="3">
        <v>5355</v>
      </c>
      <c r="H28" s="5" t="s">
        <v>1353</v>
      </c>
    </row>
    <row r="29" spans="1:8" ht="21" x14ac:dyDescent="0.7">
      <c r="A29" s="2">
        <v>28</v>
      </c>
      <c r="B29" s="8" t="s">
        <v>17</v>
      </c>
      <c r="C29" s="10" t="s">
        <v>1382</v>
      </c>
      <c r="D29" s="3"/>
      <c r="E29" s="3">
        <v>1</v>
      </c>
      <c r="F29" s="3">
        <f t="shared" si="4"/>
        <v>28</v>
      </c>
      <c r="G29" s="3">
        <v>5398</v>
      </c>
      <c r="H29" s="5" t="s">
        <v>1386</v>
      </c>
    </row>
    <row r="30" spans="1:8" ht="21" x14ac:dyDescent="0.7">
      <c r="A30" s="2">
        <v>29</v>
      </c>
      <c r="B30" s="8" t="s">
        <v>17</v>
      </c>
      <c r="C30" s="10" t="s">
        <v>1504</v>
      </c>
      <c r="D30" s="3"/>
      <c r="E30" s="3">
        <v>4</v>
      </c>
      <c r="F30" s="3">
        <f t="shared" si="4"/>
        <v>24</v>
      </c>
      <c r="G30" s="3">
        <v>5514</v>
      </c>
      <c r="H30" s="5" t="s">
        <v>1505</v>
      </c>
    </row>
    <row r="31" spans="1:8" ht="21" x14ac:dyDescent="0.7">
      <c r="A31" s="2">
        <v>30</v>
      </c>
      <c r="B31" s="8" t="s">
        <v>17</v>
      </c>
      <c r="C31" s="10" t="s">
        <v>1578</v>
      </c>
      <c r="D31" s="3"/>
      <c r="E31" s="3">
        <v>1</v>
      </c>
      <c r="F31" s="3">
        <f t="shared" si="4"/>
        <v>23</v>
      </c>
      <c r="G31" s="3" t="s">
        <v>1579</v>
      </c>
      <c r="H31" s="5" t="s">
        <v>55</v>
      </c>
    </row>
    <row r="32" spans="1:8" ht="21" x14ac:dyDescent="0.7">
      <c r="A32" s="2">
        <v>31</v>
      </c>
      <c r="B32" s="8" t="s">
        <v>17</v>
      </c>
      <c r="C32" s="10" t="s">
        <v>1661</v>
      </c>
      <c r="D32" s="3"/>
      <c r="E32" s="3">
        <v>1</v>
      </c>
      <c r="F32" s="3">
        <f t="shared" si="4"/>
        <v>22</v>
      </c>
      <c r="G32" s="3">
        <v>5756</v>
      </c>
      <c r="H32" s="5" t="s">
        <v>1662</v>
      </c>
    </row>
    <row r="33" spans="1:9" ht="21" x14ac:dyDescent="0.7">
      <c r="A33" s="2">
        <v>32</v>
      </c>
      <c r="B33" s="8" t="s">
        <v>17</v>
      </c>
      <c r="C33" s="10" t="s">
        <v>1689</v>
      </c>
      <c r="D33" s="3"/>
      <c r="E33" s="3">
        <v>1</v>
      </c>
      <c r="F33" s="3">
        <f>F32-E33</f>
        <v>21</v>
      </c>
      <c r="G33" s="3" t="s">
        <v>1691</v>
      </c>
      <c r="H33" s="5" t="s">
        <v>55</v>
      </c>
    </row>
    <row r="34" spans="1:9" ht="21" x14ac:dyDescent="0.7">
      <c r="A34" s="2">
        <v>33</v>
      </c>
      <c r="B34" s="8" t="s">
        <v>17</v>
      </c>
      <c r="C34" s="10" t="s">
        <v>1729</v>
      </c>
      <c r="D34" s="3"/>
      <c r="E34" s="3">
        <v>5</v>
      </c>
      <c r="F34" s="3">
        <f>F33-E34</f>
        <v>16</v>
      </c>
      <c r="G34" s="3">
        <v>5881</v>
      </c>
      <c r="H34" s="5" t="s">
        <v>1730</v>
      </c>
    </row>
    <row r="35" spans="1:9" ht="21" x14ac:dyDescent="0.7">
      <c r="A35" s="2">
        <v>34</v>
      </c>
      <c r="B35" s="8" t="s">
        <v>17</v>
      </c>
      <c r="C35" s="10" t="s">
        <v>1878</v>
      </c>
      <c r="D35" s="3"/>
      <c r="E35" s="3">
        <v>2</v>
      </c>
      <c r="F35" s="3">
        <f>F34-E35</f>
        <v>14</v>
      </c>
      <c r="G35" s="3" t="s">
        <v>1880</v>
      </c>
      <c r="H35" s="5" t="s">
        <v>49</v>
      </c>
    </row>
    <row r="36" spans="1:9" ht="20.25" customHeight="1" x14ac:dyDescent="0.3">
      <c r="A36" s="2">
        <v>35</v>
      </c>
      <c r="B36" s="8" t="s">
        <v>17</v>
      </c>
      <c r="C36" s="10"/>
      <c r="D36" s="3"/>
      <c r="E36" s="3"/>
      <c r="F36" s="3">
        <v>13</v>
      </c>
      <c r="G36" s="48" t="s">
        <v>1950</v>
      </c>
      <c r="H36" s="49"/>
    </row>
    <row r="37" spans="1:9" ht="21" x14ac:dyDescent="0.7">
      <c r="A37" s="2">
        <v>36</v>
      </c>
      <c r="B37" s="8" t="s">
        <v>17</v>
      </c>
      <c r="C37" s="10"/>
      <c r="D37" s="3"/>
      <c r="E37" s="3"/>
      <c r="F37" s="3"/>
      <c r="G37" s="3" t="s">
        <v>2051</v>
      </c>
      <c r="H37" s="5"/>
    </row>
    <row r="38" spans="1:9" ht="21" x14ac:dyDescent="0.7">
      <c r="A38" s="2">
        <v>37</v>
      </c>
      <c r="B38" s="8" t="s">
        <v>17</v>
      </c>
      <c r="C38" s="10" t="s">
        <v>2146</v>
      </c>
      <c r="D38" s="3"/>
      <c r="E38" s="3">
        <v>2</v>
      </c>
      <c r="F38" s="3">
        <f>F36-E38</f>
        <v>11</v>
      </c>
      <c r="G38" s="3" t="s">
        <v>2147</v>
      </c>
      <c r="H38" s="5" t="s">
        <v>55</v>
      </c>
    </row>
    <row r="39" spans="1:9" ht="21" x14ac:dyDescent="0.7">
      <c r="A39" s="2">
        <v>38</v>
      </c>
      <c r="B39" s="8" t="s">
        <v>17</v>
      </c>
      <c r="C39" s="10" t="s">
        <v>2187</v>
      </c>
      <c r="D39" s="3"/>
      <c r="E39" s="3">
        <v>1</v>
      </c>
      <c r="F39" s="3">
        <f>F38-E39</f>
        <v>10</v>
      </c>
      <c r="G39" s="3" t="s">
        <v>774</v>
      </c>
      <c r="H39" s="5" t="s">
        <v>43</v>
      </c>
      <c r="I39" t="s">
        <v>2188</v>
      </c>
    </row>
    <row r="40" spans="1:9" ht="21" x14ac:dyDescent="0.7">
      <c r="A40" s="2">
        <v>39</v>
      </c>
      <c r="B40" s="8" t="s">
        <v>17</v>
      </c>
      <c r="C40" s="10" t="s">
        <v>2216</v>
      </c>
      <c r="D40" s="3">
        <v>60</v>
      </c>
      <c r="E40" s="3"/>
      <c r="F40" s="3">
        <f>F39+D40</f>
        <v>70</v>
      </c>
      <c r="G40" s="3"/>
      <c r="H40" s="19" t="s">
        <v>2218</v>
      </c>
    </row>
    <row r="41" spans="1:9" ht="21" x14ac:dyDescent="0.7">
      <c r="A41" s="2">
        <v>40</v>
      </c>
      <c r="B41" s="8" t="s">
        <v>17</v>
      </c>
      <c r="C41" s="10" t="s">
        <v>2219</v>
      </c>
      <c r="D41" s="3"/>
      <c r="E41" s="3">
        <v>50</v>
      </c>
      <c r="F41" s="3">
        <f>F40-E41</f>
        <v>20</v>
      </c>
      <c r="G41" s="3">
        <v>6585</v>
      </c>
      <c r="H41" s="5" t="s">
        <v>1730</v>
      </c>
    </row>
    <row r="42" spans="1:9" ht="21" x14ac:dyDescent="0.7">
      <c r="A42" s="2">
        <v>41</v>
      </c>
      <c r="B42" s="8" t="s">
        <v>17</v>
      </c>
      <c r="C42" s="10" t="s">
        <v>2229</v>
      </c>
      <c r="D42" s="3"/>
      <c r="E42" s="3">
        <v>2</v>
      </c>
      <c r="F42" s="3">
        <f>F41-E42</f>
        <v>18</v>
      </c>
      <c r="G42" s="3" t="s">
        <v>2230</v>
      </c>
      <c r="H42" s="5" t="s">
        <v>55</v>
      </c>
    </row>
    <row r="43" spans="1:9" ht="21" x14ac:dyDescent="0.7">
      <c r="A43" s="2">
        <v>42</v>
      </c>
      <c r="B43" s="8" t="s">
        <v>17</v>
      </c>
      <c r="C43" s="10" t="s">
        <v>2244</v>
      </c>
      <c r="D43" s="3"/>
      <c r="E43" s="3">
        <v>8</v>
      </c>
      <c r="F43" s="3">
        <f>F42-E43</f>
        <v>10</v>
      </c>
      <c r="G43" s="3">
        <v>6634</v>
      </c>
      <c r="H43" s="5" t="s">
        <v>2236</v>
      </c>
    </row>
    <row r="44" spans="1:9" ht="21" customHeight="1" x14ac:dyDescent="0.3">
      <c r="A44" s="2">
        <v>43</v>
      </c>
      <c r="B44" s="8" t="s">
        <v>17</v>
      </c>
      <c r="C44" s="10" t="s">
        <v>2376</v>
      </c>
      <c r="D44" s="3">
        <v>60</v>
      </c>
      <c r="E44" s="3"/>
      <c r="F44" s="3">
        <f>F43+D44</f>
        <v>70</v>
      </c>
      <c r="G44" s="44" t="s">
        <v>2375</v>
      </c>
      <c r="H44" s="45"/>
    </row>
    <row r="45" spans="1:9" ht="21" x14ac:dyDescent="0.7">
      <c r="A45" s="2">
        <v>44</v>
      </c>
      <c r="B45" s="8" t="s">
        <v>17</v>
      </c>
      <c r="C45" s="10" t="s">
        <v>2382</v>
      </c>
      <c r="D45" s="3"/>
      <c r="E45" s="3">
        <v>5</v>
      </c>
      <c r="F45" s="3">
        <f t="shared" ref="F45:F50" si="5">F44-E45</f>
        <v>65</v>
      </c>
      <c r="G45" s="3" t="s">
        <v>2383</v>
      </c>
      <c r="H45" s="5" t="s">
        <v>55</v>
      </c>
    </row>
    <row r="46" spans="1:9" ht="21" x14ac:dyDescent="0.7">
      <c r="A46" s="2">
        <v>45</v>
      </c>
      <c r="B46" s="8" t="s">
        <v>17</v>
      </c>
      <c r="C46" s="10" t="s">
        <v>2446</v>
      </c>
      <c r="D46" s="3"/>
      <c r="E46" s="3">
        <v>1</v>
      </c>
      <c r="F46" s="3">
        <f t="shared" si="5"/>
        <v>64</v>
      </c>
      <c r="G46" s="3" t="s">
        <v>2449</v>
      </c>
      <c r="H46" s="5" t="s">
        <v>55</v>
      </c>
    </row>
    <row r="47" spans="1:9" ht="21" x14ac:dyDescent="0.7">
      <c r="A47" s="2">
        <v>46</v>
      </c>
      <c r="B47" s="8" t="s">
        <v>17</v>
      </c>
      <c r="C47" s="10" t="s">
        <v>2514</v>
      </c>
      <c r="D47" s="3"/>
      <c r="E47" s="3">
        <v>2</v>
      </c>
      <c r="F47" s="3">
        <f t="shared" si="5"/>
        <v>62</v>
      </c>
      <c r="G47" s="3">
        <v>7086</v>
      </c>
      <c r="H47" s="5" t="s">
        <v>2516</v>
      </c>
    </row>
    <row r="48" spans="1:9" ht="21" x14ac:dyDescent="0.7">
      <c r="A48" s="2">
        <v>47</v>
      </c>
      <c r="B48" s="8" t="s">
        <v>17</v>
      </c>
      <c r="C48" s="10" t="s">
        <v>2565</v>
      </c>
      <c r="D48" s="3"/>
      <c r="E48" s="3">
        <v>3</v>
      </c>
      <c r="F48" s="3">
        <f t="shared" si="5"/>
        <v>59</v>
      </c>
      <c r="G48" s="3">
        <v>7181</v>
      </c>
      <c r="H48" s="5" t="s">
        <v>2005</v>
      </c>
    </row>
    <row r="49" spans="1:8" ht="21" x14ac:dyDescent="0.7">
      <c r="A49" s="2">
        <v>48</v>
      </c>
      <c r="B49" s="8" t="s">
        <v>17</v>
      </c>
      <c r="C49" s="10" t="s">
        <v>2580</v>
      </c>
      <c r="D49" s="3"/>
      <c r="E49" s="3">
        <v>1</v>
      </c>
      <c r="F49" s="3">
        <f t="shared" si="5"/>
        <v>58</v>
      </c>
      <c r="G49" s="3">
        <v>7210</v>
      </c>
      <c r="H49" s="5" t="s">
        <v>2581</v>
      </c>
    </row>
    <row r="50" spans="1:8" ht="21" x14ac:dyDescent="0.7">
      <c r="A50" s="2">
        <v>49</v>
      </c>
      <c r="B50" s="8" t="s">
        <v>17</v>
      </c>
      <c r="C50" s="10" t="s">
        <v>2600</v>
      </c>
      <c r="D50" s="3"/>
      <c r="E50" s="3">
        <v>10</v>
      </c>
      <c r="F50" s="3">
        <f t="shared" si="5"/>
        <v>48</v>
      </c>
      <c r="G50" s="3">
        <v>7227</v>
      </c>
      <c r="H50" s="5" t="s">
        <v>2581</v>
      </c>
    </row>
    <row r="51" spans="1:8" ht="21" x14ac:dyDescent="0.7">
      <c r="A51" s="2">
        <v>50</v>
      </c>
      <c r="B51" s="8" t="s">
        <v>17</v>
      </c>
      <c r="C51" s="10" t="s">
        <v>2616</v>
      </c>
      <c r="D51" s="3"/>
      <c r="E51" s="3">
        <v>2</v>
      </c>
      <c r="F51" s="3">
        <f>F50-E51</f>
        <v>46</v>
      </c>
      <c r="G51" s="3">
        <v>7254</v>
      </c>
      <c r="H51" s="5" t="s">
        <v>1593</v>
      </c>
    </row>
    <row r="52" spans="1:8" ht="21" x14ac:dyDescent="0.7">
      <c r="A52" s="2">
        <v>51</v>
      </c>
      <c r="B52" s="8" t="s">
        <v>17</v>
      </c>
      <c r="C52" s="10" t="s">
        <v>2630</v>
      </c>
      <c r="D52" s="3"/>
      <c r="E52" s="3">
        <v>1</v>
      </c>
      <c r="F52" s="3">
        <f>F51-E52</f>
        <v>45</v>
      </c>
      <c r="G52" s="3">
        <v>7279</v>
      </c>
      <c r="H52" s="5" t="s">
        <v>2631</v>
      </c>
    </row>
    <row r="53" spans="1:8" ht="21" x14ac:dyDescent="0.7">
      <c r="A53" s="2">
        <v>52</v>
      </c>
      <c r="B53" s="8" t="s">
        <v>17</v>
      </c>
      <c r="C53" s="10"/>
      <c r="D53" s="3"/>
      <c r="E53" s="3"/>
      <c r="F53" s="3"/>
      <c r="G53" s="3"/>
      <c r="H53" s="5"/>
    </row>
    <row r="54" spans="1:8" ht="21" x14ac:dyDescent="0.7">
      <c r="A54" s="2">
        <v>53</v>
      </c>
      <c r="B54" s="8" t="s">
        <v>17</v>
      </c>
      <c r="C54" s="10"/>
      <c r="D54" s="3"/>
      <c r="E54" s="3"/>
      <c r="F54" s="3"/>
      <c r="G54" s="3"/>
      <c r="H54" s="5"/>
    </row>
    <row r="55" spans="1:8" ht="21" x14ac:dyDescent="0.7">
      <c r="A55" s="2">
        <v>54</v>
      </c>
      <c r="B55" s="8" t="s">
        <v>17</v>
      </c>
      <c r="C55" s="10"/>
      <c r="D55" s="3"/>
      <c r="E55" s="3"/>
      <c r="F55" s="3"/>
      <c r="G55" s="3"/>
      <c r="H55" s="5"/>
    </row>
  </sheetData>
  <mergeCells count="3">
    <mergeCell ref="G4:H4"/>
    <mergeCell ref="G36:H36"/>
    <mergeCell ref="G44:H44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</sheetPr>
  <dimension ref="A1:H18"/>
  <sheetViews>
    <sheetView rightToLeft="1" zoomScale="115" zoomScaleNormal="115" workbookViewId="0">
      <pane ySplit="1" topLeftCell="A8" activePane="bottomLeft" state="frozen"/>
      <selection pane="bottomLeft" activeCell="G17" sqref="G17"/>
    </sheetView>
  </sheetViews>
  <sheetFormatPr defaultRowHeight="14.4" x14ac:dyDescent="0.3"/>
  <cols>
    <col min="2" max="2" width="12.44140625" bestFit="1" customWidth="1"/>
    <col min="3" max="3" width="10.88671875" bestFit="1" customWidth="1"/>
    <col min="7" max="7" width="11.88671875" bestFit="1" customWidth="1"/>
    <col min="8" max="8" width="15.109375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18</v>
      </c>
      <c r="C2" s="10" t="s">
        <v>56</v>
      </c>
      <c r="D2" s="3"/>
      <c r="E2" s="3">
        <v>1</v>
      </c>
      <c r="F2" s="3">
        <v>31</v>
      </c>
      <c r="G2" s="3" t="s">
        <v>57</v>
      </c>
      <c r="H2" s="5" t="s">
        <v>55</v>
      </c>
    </row>
    <row r="3" spans="1:8" ht="21" x14ac:dyDescent="0.7">
      <c r="A3" s="2">
        <v>2</v>
      </c>
      <c r="B3" s="8" t="s">
        <v>18</v>
      </c>
      <c r="C3" s="10" t="s">
        <v>167</v>
      </c>
      <c r="D3" s="3"/>
      <c r="E3" s="3">
        <v>2</v>
      </c>
      <c r="F3" s="3">
        <f t="shared" ref="F3:F8" si="0">F2-E3</f>
        <v>29</v>
      </c>
      <c r="G3" s="3">
        <v>3759</v>
      </c>
      <c r="H3" s="5" t="s">
        <v>169</v>
      </c>
    </row>
    <row r="4" spans="1:8" ht="21" x14ac:dyDescent="0.7">
      <c r="A4" s="2">
        <v>3</v>
      </c>
      <c r="B4" s="8" t="s">
        <v>18</v>
      </c>
      <c r="C4" s="10" t="s">
        <v>178</v>
      </c>
      <c r="D4" s="3"/>
      <c r="E4" s="3">
        <v>1</v>
      </c>
      <c r="F4" s="3">
        <f t="shared" si="0"/>
        <v>28</v>
      </c>
      <c r="G4" s="3">
        <v>3767</v>
      </c>
      <c r="H4" s="5" t="s">
        <v>169</v>
      </c>
    </row>
    <row r="5" spans="1:8" ht="21" x14ac:dyDescent="0.7">
      <c r="A5" s="2">
        <v>4</v>
      </c>
      <c r="B5" s="8" t="s">
        <v>18</v>
      </c>
      <c r="C5" s="10" t="s">
        <v>456</v>
      </c>
      <c r="D5" s="3"/>
      <c r="E5" s="3">
        <v>2</v>
      </c>
      <c r="F5" s="3">
        <f t="shared" si="0"/>
        <v>26</v>
      </c>
      <c r="G5" s="3" t="s">
        <v>457</v>
      </c>
      <c r="H5" s="5" t="s">
        <v>55</v>
      </c>
    </row>
    <row r="6" spans="1:8" ht="21" x14ac:dyDescent="0.7">
      <c r="A6" s="2">
        <v>5</v>
      </c>
      <c r="B6" s="8" t="s">
        <v>18</v>
      </c>
      <c r="C6" s="10" t="s">
        <v>741</v>
      </c>
      <c r="D6" s="3"/>
      <c r="E6" s="3">
        <v>4</v>
      </c>
      <c r="F6" s="3">
        <f t="shared" si="0"/>
        <v>22</v>
      </c>
      <c r="G6" s="3" t="s">
        <v>744</v>
      </c>
      <c r="H6" s="5" t="s">
        <v>743</v>
      </c>
    </row>
    <row r="7" spans="1:8" ht="21" x14ac:dyDescent="0.7">
      <c r="A7" s="2">
        <v>6</v>
      </c>
      <c r="B7" s="8" t="s">
        <v>18</v>
      </c>
      <c r="C7" s="10" t="s">
        <v>1158</v>
      </c>
      <c r="D7" s="3"/>
      <c r="E7" s="3">
        <v>1</v>
      </c>
      <c r="F7" s="3">
        <f t="shared" si="0"/>
        <v>21</v>
      </c>
      <c r="G7" s="3">
        <v>5121</v>
      </c>
      <c r="H7" s="5" t="s">
        <v>1160</v>
      </c>
    </row>
    <row r="8" spans="1:8" ht="21" x14ac:dyDescent="0.7">
      <c r="A8" s="2">
        <v>7</v>
      </c>
      <c r="B8" s="8" t="s">
        <v>18</v>
      </c>
      <c r="C8" s="10" t="s">
        <v>1221</v>
      </c>
      <c r="D8" s="3"/>
      <c r="E8" s="3">
        <v>1</v>
      </c>
      <c r="F8" s="3">
        <f t="shared" si="0"/>
        <v>20</v>
      </c>
      <c r="G8" s="3">
        <v>5197</v>
      </c>
      <c r="H8" s="5" t="s">
        <v>1222</v>
      </c>
    </row>
    <row r="9" spans="1:8" ht="21" x14ac:dyDescent="0.7">
      <c r="A9" s="2">
        <v>8</v>
      </c>
      <c r="B9" s="8" t="s">
        <v>18</v>
      </c>
      <c r="C9" s="10" t="s">
        <v>1246</v>
      </c>
      <c r="D9" s="3"/>
      <c r="E9" s="3">
        <v>3</v>
      </c>
      <c r="F9" s="3">
        <f>F8-E9</f>
        <v>17</v>
      </c>
      <c r="G9" s="3">
        <v>5240</v>
      </c>
      <c r="H9" s="5" t="s">
        <v>1222</v>
      </c>
    </row>
    <row r="10" spans="1:8" ht="21" x14ac:dyDescent="0.7">
      <c r="A10" s="2">
        <v>9</v>
      </c>
      <c r="B10" s="8" t="s">
        <v>18</v>
      </c>
      <c r="C10" s="10" t="s">
        <v>1452</v>
      </c>
      <c r="D10" s="3"/>
      <c r="E10" s="3">
        <v>1</v>
      </c>
      <c r="F10" s="3">
        <f>F9-E10</f>
        <v>16</v>
      </c>
      <c r="G10" s="3" t="s">
        <v>1454</v>
      </c>
      <c r="H10" s="5" t="s">
        <v>1453</v>
      </c>
    </row>
    <row r="11" spans="1:8" ht="21" x14ac:dyDescent="0.7">
      <c r="A11" s="2">
        <v>10</v>
      </c>
      <c r="B11" s="8" t="s">
        <v>18</v>
      </c>
      <c r="C11" s="10" t="s">
        <v>1512</v>
      </c>
      <c r="D11" s="3"/>
      <c r="E11" s="3">
        <v>2</v>
      </c>
      <c r="F11" s="3">
        <f>F10-E11</f>
        <v>14</v>
      </c>
      <c r="G11" s="3" t="s">
        <v>1513</v>
      </c>
      <c r="H11" s="5" t="s">
        <v>436</v>
      </c>
    </row>
    <row r="12" spans="1:8" ht="21" x14ac:dyDescent="0.7">
      <c r="A12" s="2">
        <v>11</v>
      </c>
      <c r="B12" s="8" t="s">
        <v>18</v>
      </c>
      <c r="C12" s="10"/>
      <c r="D12" s="3"/>
      <c r="E12" s="3"/>
      <c r="F12" s="3"/>
      <c r="G12" s="3" t="s">
        <v>2052</v>
      </c>
      <c r="H12" s="5"/>
    </row>
    <row r="13" spans="1:8" ht="21" customHeight="1" x14ac:dyDescent="0.3">
      <c r="A13" s="2">
        <v>12</v>
      </c>
      <c r="B13" s="8" t="s">
        <v>2384</v>
      </c>
      <c r="C13" s="10" t="s">
        <v>2376</v>
      </c>
      <c r="D13" s="3">
        <v>12</v>
      </c>
      <c r="E13" s="3"/>
      <c r="F13" s="3">
        <v>12</v>
      </c>
      <c r="G13" s="44" t="s">
        <v>2377</v>
      </c>
      <c r="H13" s="45"/>
    </row>
    <row r="14" spans="1:8" ht="21" x14ac:dyDescent="0.7">
      <c r="A14" s="2">
        <v>13</v>
      </c>
      <c r="B14" s="8" t="s">
        <v>2384</v>
      </c>
      <c r="C14" s="10" t="s">
        <v>2385</v>
      </c>
      <c r="D14" s="3"/>
      <c r="E14" s="3">
        <v>2</v>
      </c>
      <c r="F14" s="3">
        <f>F13-E14</f>
        <v>10</v>
      </c>
      <c r="G14" s="3">
        <v>6865</v>
      </c>
      <c r="H14" s="5" t="s">
        <v>1293</v>
      </c>
    </row>
    <row r="15" spans="1:8" ht="21" x14ac:dyDescent="0.7">
      <c r="A15" s="2">
        <v>14</v>
      </c>
      <c r="B15" s="8" t="s">
        <v>2384</v>
      </c>
      <c r="C15" s="10" t="s">
        <v>2385</v>
      </c>
      <c r="D15" s="3"/>
      <c r="E15" s="3">
        <v>1</v>
      </c>
      <c r="F15" s="3">
        <f>F14-E15</f>
        <v>9</v>
      </c>
      <c r="G15" s="3">
        <v>6867</v>
      </c>
      <c r="H15" s="5" t="s">
        <v>169</v>
      </c>
    </row>
    <row r="16" spans="1:8" ht="21" x14ac:dyDescent="0.7">
      <c r="A16" s="2">
        <v>15</v>
      </c>
      <c r="B16" s="8" t="s">
        <v>2384</v>
      </c>
      <c r="C16" s="10" t="s">
        <v>2616</v>
      </c>
      <c r="D16" s="3"/>
      <c r="E16" s="3">
        <v>1</v>
      </c>
      <c r="F16" s="3">
        <f>F15-E16</f>
        <v>8</v>
      </c>
      <c r="G16" s="3">
        <v>7254</v>
      </c>
      <c r="H16" s="5" t="s">
        <v>933</v>
      </c>
    </row>
    <row r="17" spans="1:8" ht="21" x14ac:dyDescent="0.7">
      <c r="A17" s="2">
        <v>16</v>
      </c>
      <c r="B17" s="8" t="s">
        <v>2384</v>
      </c>
      <c r="C17" s="10"/>
      <c r="D17" s="3"/>
      <c r="E17" s="3"/>
      <c r="F17" s="3"/>
      <c r="G17" s="3"/>
      <c r="H17" s="5"/>
    </row>
    <row r="18" spans="1:8" ht="21" x14ac:dyDescent="0.7">
      <c r="A18" s="2">
        <v>17</v>
      </c>
      <c r="B18" s="8" t="s">
        <v>2384</v>
      </c>
      <c r="C18" s="10"/>
      <c r="D18" s="3"/>
      <c r="E18" s="3"/>
      <c r="F18" s="3"/>
      <c r="G18" s="3"/>
      <c r="H18" s="5"/>
    </row>
  </sheetData>
  <mergeCells count="1">
    <mergeCell ref="G13:H13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I72"/>
  <sheetViews>
    <sheetView rightToLeft="1" zoomScale="110" zoomScaleNormal="110" workbookViewId="0">
      <pane ySplit="1" topLeftCell="A62" activePane="bottomLeft" state="frozen"/>
      <selection pane="bottomLeft" activeCell="C69" sqref="C69"/>
    </sheetView>
  </sheetViews>
  <sheetFormatPr defaultRowHeight="14.4" x14ac:dyDescent="0.3"/>
  <cols>
    <col min="2" max="2" width="12.44140625" bestFit="1" customWidth="1"/>
    <col min="3" max="3" width="10.88671875" bestFit="1" customWidth="1"/>
    <col min="7" max="7" width="11.88671875" bestFit="1" customWidth="1"/>
    <col min="8" max="8" width="16.88671875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1" x14ac:dyDescent="0.7">
      <c r="A2" s="2">
        <v>1</v>
      </c>
      <c r="B2" s="8" t="s">
        <v>19</v>
      </c>
      <c r="C2" s="10" t="s">
        <v>58</v>
      </c>
      <c r="D2" s="3"/>
      <c r="E2" s="3">
        <v>2</v>
      </c>
      <c r="F2" s="3">
        <v>73</v>
      </c>
      <c r="G2" s="3" t="s">
        <v>59</v>
      </c>
      <c r="H2" s="5" t="s">
        <v>55</v>
      </c>
    </row>
    <row r="3" spans="1:9" ht="21" x14ac:dyDescent="0.7">
      <c r="A3" s="2">
        <v>2</v>
      </c>
      <c r="B3" s="8" t="s">
        <v>19</v>
      </c>
      <c r="C3" s="10" t="s">
        <v>122</v>
      </c>
      <c r="D3" s="3"/>
      <c r="E3" s="3">
        <v>3</v>
      </c>
      <c r="F3" s="3">
        <f>F2-E3</f>
        <v>70</v>
      </c>
      <c r="G3" s="3" t="s">
        <v>123</v>
      </c>
      <c r="H3" s="5" t="s">
        <v>55</v>
      </c>
    </row>
    <row r="4" spans="1:9" ht="21" x14ac:dyDescent="0.7">
      <c r="A4" s="2">
        <v>3</v>
      </c>
      <c r="B4" s="8" t="s">
        <v>19</v>
      </c>
      <c r="C4" s="10" t="s">
        <v>122</v>
      </c>
      <c r="D4" s="3"/>
      <c r="E4" s="3">
        <v>2</v>
      </c>
      <c r="F4" s="3">
        <f>F3-E4</f>
        <v>68</v>
      </c>
      <c r="G4" s="3">
        <v>3676</v>
      </c>
      <c r="H4" s="5" t="s">
        <v>124</v>
      </c>
    </row>
    <row r="5" spans="1:9" ht="20.25" customHeight="1" x14ac:dyDescent="0.3">
      <c r="A5" s="2">
        <v>4</v>
      </c>
      <c r="B5" s="8"/>
      <c r="C5" s="10"/>
      <c r="D5" s="3"/>
      <c r="E5" s="3">
        <v>69</v>
      </c>
      <c r="F5" s="3">
        <f>F4+E5</f>
        <v>137</v>
      </c>
      <c r="G5" s="46" t="s">
        <v>194</v>
      </c>
      <c r="H5" s="47"/>
    </row>
    <row r="6" spans="1:9" ht="21" x14ac:dyDescent="0.7">
      <c r="A6" s="2">
        <v>5</v>
      </c>
      <c r="B6" s="8" t="s">
        <v>19</v>
      </c>
      <c r="C6" s="10" t="s">
        <v>143</v>
      </c>
      <c r="D6" s="3"/>
      <c r="E6" s="3">
        <v>1</v>
      </c>
      <c r="F6" s="3">
        <f>F5-E6</f>
        <v>136</v>
      </c>
      <c r="G6" s="3" t="s">
        <v>144</v>
      </c>
      <c r="H6" s="5" t="s">
        <v>55</v>
      </c>
    </row>
    <row r="7" spans="1:9" ht="21" x14ac:dyDescent="0.7">
      <c r="A7" s="2">
        <v>6</v>
      </c>
      <c r="B7" s="8" t="s">
        <v>19</v>
      </c>
      <c r="C7" s="10" t="s">
        <v>160</v>
      </c>
      <c r="D7" s="3"/>
      <c r="E7" s="3">
        <v>1</v>
      </c>
      <c r="F7" s="3">
        <f>F6-E7</f>
        <v>135</v>
      </c>
      <c r="G7" s="3">
        <v>3756</v>
      </c>
      <c r="H7" s="5" t="s">
        <v>164</v>
      </c>
    </row>
    <row r="8" spans="1:9" ht="21" x14ac:dyDescent="0.7">
      <c r="A8" s="2">
        <v>7</v>
      </c>
      <c r="B8" s="8" t="s">
        <v>19</v>
      </c>
      <c r="C8" s="10" t="s">
        <v>172</v>
      </c>
      <c r="D8" s="3"/>
      <c r="E8" s="3">
        <v>11</v>
      </c>
      <c r="F8" s="3">
        <f>F7-E8</f>
        <v>124</v>
      </c>
      <c r="G8" s="3" t="s">
        <v>173</v>
      </c>
      <c r="H8" s="5" t="s">
        <v>55</v>
      </c>
    </row>
    <row r="9" spans="1:9" ht="21" x14ac:dyDescent="0.7">
      <c r="A9" s="2">
        <v>8</v>
      </c>
      <c r="B9" s="8" t="s">
        <v>19</v>
      </c>
      <c r="C9" s="10" t="s">
        <v>239</v>
      </c>
      <c r="D9" s="3"/>
      <c r="E9" s="3">
        <v>2</v>
      </c>
      <c r="F9" s="3">
        <f>F8-E9</f>
        <v>122</v>
      </c>
      <c r="G9" s="3">
        <v>3862</v>
      </c>
      <c r="H9" s="5" t="s">
        <v>164</v>
      </c>
    </row>
    <row r="10" spans="1:9" ht="21" x14ac:dyDescent="0.7">
      <c r="A10" s="2">
        <v>9</v>
      </c>
      <c r="B10" s="8" t="s">
        <v>19</v>
      </c>
      <c r="C10" s="13" t="s">
        <v>266</v>
      </c>
      <c r="D10" s="3">
        <v>75</v>
      </c>
      <c r="E10" s="3"/>
      <c r="F10" s="3">
        <f>F9+D10</f>
        <v>197</v>
      </c>
      <c r="G10" s="3"/>
      <c r="H10" s="5"/>
    </row>
    <row r="11" spans="1:9" ht="21" x14ac:dyDescent="0.7">
      <c r="A11" s="2">
        <v>10</v>
      </c>
      <c r="B11" s="8" t="s">
        <v>19</v>
      </c>
      <c r="C11" s="10" t="s">
        <v>302</v>
      </c>
      <c r="D11" s="3"/>
      <c r="E11" s="3">
        <v>10</v>
      </c>
      <c r="F11" s="3">
        <f t="shared" ref="F11:F16" si="0">F10-E11</f>
        <v>187</v>
      </c>
      <c r="G11" s="3">
        <v>3925</v>
      </c>
      <c r="H11" s="5" t="s">
        <v>43</v>
      </c>
      <c r="I11" t="s">
        <v>371</v>
      </c>
    </row>
    <row r="12" spans="1:9" ht="21" x14ac:dyDescent="0.7">
      <c r="A12" s="2">
        <v>11</v>
      </c>
      <c r="B12" s="8" t="s">
        <v>19</v>
      </c>
      <c r="C12" s="10" t="s">
        <v>310</v>
      </c>
      <c r="D12" s="3"/>
      <c r="E12" s="3">
        <v>1</v>
      </c>
      <c r="F12" s="3">
        <f t="shared" si="0"/>
        <v>186</v>
      </c>
      <c r="G12" s="3" t="s">
        <v>313</v>
      </c>
      <c r="H12" s="5" t="s">
        <v>55</v>
      </c>
    </row>
    <row r="13" spans="1:9" ht="21" x14ac:dyDescent="0.7">
      <c r="A13" s="2">
        <v>12</v>
      </c>
      <c r="B13" s="8" t="s">
        <v>19</v>
      </c>
      <c r="C13" s="10" t="s">
        <v>335</v>
      </c>
      <c r="D13" s="3"/>
      <c r="E13" s="3">
        <v>2</v>
      </c>
      <c r="F13" s="3">
        <f t="shared" si="0"/>
        <v>184</v>
      </c>
      <c r="G13" s="3">
        <v>4002</v>
      </c>
      <c r="H13" s="5" t="s">
        <v>164</v>
      </c>
    </row>
    <row r="14" spans="1:9" ht="21" x14ac:dyDescent="0.7">
      <c r="A14" s="2">
        <v>13</v>
      </c>
      <c r="B14" s="8" t="s">
        <v>19</v>
      </c>
      <c r="C14" s="10" t="s">
        <v>348</v>
      </c>
      <c r="D14" s="3"/>
      <c r="E14" s="3">
        <v>1</v>
      </c>
      <c r="F14" s="3">
        <f t="shared" si="0"/>
        <v>183</v>
      </c>
      <c r="G14" s="3" t="s">
        <v>349</v>
      </c>
      <c r="H14" s="5" t="s">
        <v>55</v>
      </c>
    </row>
    <row r="15" spans="1:9" ht="21" x14ac:dyDescent="0.7">
      <c r="A15" s="2">
        <v>14</v>
      </c>
      <c r="B15" s="8" t="s">
        <v>19</v>
      </c>
      <c r="C15" s="10" t="s">
        <v>358</v>
      </c>
      <c r="D15" s="3"/>
      <c r="E15" s="3">
        <v>6</v>
      </c>
      <c r="F15" s="3">
        <f t="shared" si="0"/>
        <v>177</v>
      </c>
      <c r="G15" s="3">
        <v>4014</v>
      </c>
      <c r="H15" s="5" t="s">
        <v>96</v>
      </c>
    </row>
    <row r="16" spans="1:9" ht="21" x14ac:dyDescent="0.7">
      <c r="A16" s="2">
        <v>15</v>
      </c>
      <c r="B16" s="8" t="s">
        <v>19</v>
      </c>
      <c r="C16" s="10" t="s">
        <v>360</v>
      </c>
      <c r="D16" s="3"/>
      <c r="E16" s="3">
        <v>2</v>
      </c>
      <c r="F16" s="3">
        <f t="shared" si="0"/>
        <v>175</v>
      </c>
      <c r="G16" s="3" t="s">
        <v>361</v>
      </c>
      <c r="H16" s="5" t="s">
        <v>55</v>
      </c>
    </row>
    <row r="17" spans="1:8" ht="21" x14ac:dyDescent="0.7">
      <c r="A17" s="2">
        <v>16</v>
      </c>
      <c r="B17" s="8" t="s">
        <v>19</v>
      </c>
      <c r="C17" s="10" t="s">
        <v>369</v>
      </c>
      <c r="D17" s="3">
        <v>10</v>
      </c>
      <c r="E17" s="3"/>
      <c r="F17" s="3">
        <f>F16+D17</f>
        <v>185</v>
      </c>
      <c r="G17" s="3"/>
      <c r="H17" s="5" t="s">
        <v>370</v>
      </c>
    </row>
    <row r="18" spans="1:8" ht="21" x14ac:dyDescent="0.7">
      <c r="A18" s="2">
        <v>17</v>
      </c>
      <c r="B18" s="8" t="s">
        <v>19</v>
      </c>
      <c r="C18" s="10" t="s">
        <v>369</v>
      </c>
      <c r="D18" s="3"/>
      <c r="E18" s="3">
        <v>10</v>
      </c>
      <c r="F18" s="3">
        <f>F17-E18</f>
        <v>175</v>
      </c>
      <c r="G18" s="3">
        <v>4027</v>
      </c>
      <c r="H18" s="5" t="s">
        <v>43</v>
      </c>
    </row>
    <row r="19" spans="1:8" ht="21" x14ac:dyDescent="0.7">
      <c r="A19" s="2">
        <v>18</v>
      </c>
      <c r="B19" s="8" t="s">
        <v>19</v>
      </c>
      <c r="C19" s="10" t="s">
        <v>372</v>
      </c>
      <c r="D19" s="3"/>
      <c r="E19" s="3">
        <v>1</v>
      </c>
      <c r="F19" s="3">
        <f>F18-E19</f>
        <v>174</v>
      </c>
      <c r="G19" s="3" t="s">
        <v>374</v>
      </c>
      <c r="H19" s="5" t="s">
        <v>55</v>
      </c>
    </row>
    <row r="20" spans="1:8" ht="20.25" customHeight="1" x14ac:dyDescent="0.3">
      <c r="A20" s="2">
        <v>19</v>
      </c>
      <c r="B20" s="8" t="s">
        <v>19</v>
      </c>
      <c r="C20" s="10"/>
      <c r="D20" s="3"/>
      <c r="E20" s="3"/>
      <c r="F20" s="3">
        <v>182</v>
      </c>
      <c r="G20" s="48" t="s">
        <v>376</v>
      </c>
      <c r="H20" s="49"/>
    </row>
    <row r="21" spans="1:8" ht="21" x14ac:dyDescent="0.7">
      <c r="A21" s="2">
        <v>20</v>
      </c>
      <c r="B21" s="8" t="s">
        <v>19</v>
      </c>
      <c r="C21" s="10" t="s">
        <v>380</v>
      </c>
      <c r="D21" s="3"/>
      <c r="E21" s="3">
        <v>1</v>
      </c>
      <c r="F21" s="3">
        <f t="shared" ref="F21:F27" si="1">F20-E21</f>
        <v>181</v>
      </c>
      <c r="G21" s="3">
        <v>4065</v>
      </c>
      <c r="H21" s="5" t="s">
        <v>124</v>
      </c>
    </row>
    <row r="22" spans="1:8" ht="21" x14ac:dyDescent="0.7">
      <c r="A22" s="2">
        <v>21</v>
      </c>
      <c r="B22" s="8" t="s">
        <v>19</v>
      </c>
      <c r="C22" s="10" t="s">
        <v>394</v>
      </c>
      <c r="D22" s="3"/>
      <c r="E22" s="3">
        <v>5</v>
      </c>
      <c r="F22" s="3">
        <f t="shared" si="1"/>
        <v>176</v>
      </c>
      <c r="G22" s="3" t="s">
        <v>396</v>
      </c>
      <c r="H22" s="5" t="s">
        <v>55</v>
      </c>
    </row>
    <row r="23" spans="1:8" ht="21" x14ac:dyDescent="0.7">
      <c r="A23" s="2">
        <v>22</v>
      </c>
      <c r="B23" s="8" t="s">
        <v>19</v>
      </c>
      <c r="C23" s="10" t="s">
        <v>397</v>
      </c>
      <c r="D23" s="3"/>
      <c r="E23" s="3">
        <v>5</v>
      </c>
      <c r="F23" s="3">
        <f t="shared" si="1"/>
        <v>171</v>
      </c>
      <c r="G23" s="3" t="s">
        <v>398</v>
      </c>
      <c r="H23" s="5" t="s">
        <v>55</v>
      </c>
    </row>
    <row r="24" spans="1:8" ht="21" x14ac:dyDescent="0.7">
      <c r="A24" s="2">
        <v>23</v>
      </c>
      <c r="B24" s="8" t="s">
        <v>19</v>
      </c>
      <c r="C24" s="10" t="s">
        <v>406</v>
      </c>
      <c r="D24" s="3"/>
      <c r="E24" s="3">
        <v>2</v>
      </c>
      <c r="F24" s="3">
        <f t="shared" si="1"/>
        <v>169</v>
      </c>
      <c r="G24" s="3">
        <v>4090</v>
      </c>
      <c r="H24" s="5" t="s">
        <v>407</v>
      </c>
    </row>
    <row r="25" spans="1:8" ht="21" x14ac:dyDescent="0.7">
      <c r="A25" s="2"/>
      <c r="B25" s="8" t="s">
        <v>19</v>
      </c>
      <c r="C25" s="10" t="s">
        <v>802</v>
      </c>
      <c r="D25" s="3"/>
      <c r="E25" s="3">
        <v>1</v>
      </c>
      <c r="F25" s="3">
        <f>F24-E25</f>
        <v>168</v>
      </c>
      <c r="G25" s="3">
        <v>4096</v>
      </c>
      <c r="H25" s="5" t="s">
        <v>124</v>
      </c>
    </row>
    <row r="26" spans="1:8" ht="21" x14ac:dyDescent="0.7">
      <c r="A26" s="2">
        <v>24</v>
      </c>
      <c r="B26" s="8" t="s">
        <v>19</v>
      </c>
      <c r="C26" s="10" t="s">
        <v>420</v>
      </c>
      <c r="D26" s="3"/>
      <c r="E26" s="3">
        <v>3</v>
      </c>
      <c r="F26" s="3">
        <f>F25-E26</f>
        <v>165</v>
      </c>
      <c r="G26" s="3" t="s">
        <v>421</v>
      </c>
      <c r="H26" s="5" t="s">
        <v>55</v>
      </c>
    </row>
    <row r="27" spans="1:8" ht="21" x14ac:dyDescent="0.7">
      <c r="A27" s="2">
        <v>25</v>
      </c>
      <c r="B27" s="8" t="s">
        <v>19</v>
      </c>
      <c r="C27" s="10" t="s">
        <v>437</v>
      </c>
      <c r="D27" s="3"/>
      <c r="E27" s="3">
        <v>2</v>
      </c>
      <c r="F27" s="3">
        <f t="shared" si="1"/>
        <v>163</v>
      </c>
      <c r="G27" s="3" t="s">
        <v>439</v>
      </c>
      <c r="H27" s="5" t="s">
        <v>55</v>
      </c>
    </row>
    <row r="28" spans="1:8" ht="21" x14ac:dyDescent="0.7">
      <c r="A28" s="2">
        <v>26</v>
      </c>
      <c r="B28" s="8" t="s">
        <v>19</v>
      </c>
      <c r="C28" s="10" t="s">
        <v>469</v>
      </c>
      <c r="D28" s="3"/>
      <c r="E28" s="3">
        <v>3</v>
      </c>
      <c r="F28" s="3">
        <f t="shared" ref="F28:F33" si="2">F27-E28</f>
        <v>160</v>
      </c>
      <c r="G28" s="3">
        <v>4156</v>
      </c>
      <c r="H28" s="5" t="s">
        <v>472</v>
      </c>
    </row>
    <row r="29" spans="1:8" ht="21" x14ac:dyDescent="0.7">
      <c r="A29" s="2">
        <v>27</v>
      </c>
      <c r="B29" s="8" t="s">
        <v>19</v>
      </c>
      <c r="C29" s="10" t="s">
        <v>481</v>
      </c>
      <c r="D29" s="3"/>
      <c r="E29" s="3">
        <v>1</v>
      </c>
      <c r="F29" s="3">
        <f t="shared" si="2"/>
        <v>159</v>
      </c>
      <c r="G29" s="3" t="s">
        <v>482</v>
      </c>
      <c r="H29" s="5" t="s">
        <v>55</v>
      </c>
    </row>
    <row r="30" spans="1:8" ht="21" x14ac:dyDescent="0.7">
      <c r="A30" s="2">
        <v>28</v>
      </c>
      <c r="B30" s="8" t="s">
        <v>19</v>
      </c>
      <c r="C30" s="10" t="s">
        <v>491</v>
      </c>
      <c r="D30" s="3"/>
      <c r="E30" s="3">
        <v>1</v>
      </c>
      <c r="F30" s="3">
        <f t="shared" si="2"/>
        <v>158</v>
      </c>
      <c r="G30" s="3" t="s">
        <v>492</v>
      </c>
      <c r="H30" s="5" t="s">
        <v>436</v>
      </c>
    </row>
    <row r="31" spans="1:8" ht="21" x14ac:dyDescent="0.7">
      <c r="A31" s="2">
        <v>29</v>
      </c>
      <c r="B31" s="8" t="s">
        <v>19</v>
      </c>
      <c r="C31" s="10" t="s">
        <v>517</v>
      </c>
      <c r="D31" s="3"/>
      <c r="E31" s="3">
        <v>2</v>
      </c>
      <c r="F31" s="3">
        <f t="shared" si="2"/>
        <v>156</v>
      </c>
      <c r="G31" s="3" t="s">
        <v>518</v>
      </c>
      <c r="H31" s="5" t="s">
        <v>55</v>
      </c>
    </row>
    <row r="32" spans="1:8" ht="21" x14ac:dyDescent="0.7">
      <c r="A32" s="2">
        <v>30</v>
      </c>
      <c r="B32" s="8" t="s">
        <v>19</v>
      </c>
      <c r="C32" s="10" t="s">
        <v>534</v>
      </c>
      <c r="D32" s="3"/>
      <c r="E32" s="3">
        <v>2</v>
      </c>
      <c r="F32" s="3">
        <f t="shared" si="2"/>
        <v>154</v>
      </c>
      <c r="G32" s="3" t="s">
        <v>536</v>
      </c>
      <c r="H32" s="5" t="s">
        <v>55</v>
      </c>
    </row>
    <row r="33" spans="1:8" ht="21" x14ac:dyDescent="0.7">
      <c r="A33" s="2">
        <v>31</v>
      </c>
      <c r="B33" s="8" t="s">
        <v>19</v>
      </c>
      <c r="C33" s="10" t="s">
        <v>557</v>
      </c>
      <c r="D33" s="3"/>
      <c r="E33" s="3">
        <v>2</v>
      </c>
      <c r="F33" s="3">
        <f t="shared" si="2"/>
        <v>152</v>
      </c>
      <c r="G33" s="3" t="s">
        <v>558</v>
      </c>
      <c r="H33" s="5" t="s">
        <v>55</v>
      </c>
    </row>
    <row r="34" spans="1:8" ht="21" x14ac:dyDescent="0.7">
      <c r="A34" s="2">
        <v>32</v>
      </c>
      <c r="B34" s="8" t="s">
        <v>19</v>
      </c>
      <c r="C34" s="10" t="s">
        <v>563</v>
      </c>
      <c r="D34" s="3"/>
      <c r="E34" s="3">
        <v>1</v>
      </c>
      <c r="F34" s="3">
        <f t="shared" ref="F34:F39" si="3">F33-E34</f>
        <v>151</v>
      </c>
      <c r="G34" s="3" t="s">
        <v>564</v>
      </c>
      <c r="H34" s="5" t="s">
        <v>55</v>
      </c>
    </row>
    <row r="35" spans="1:8" ht="21" x14ac:dyDescent="0.7">
      <c r="A35" s="2">
        <v>33</v>
      </c>
      <c r="B35" s="8" t="s">
        <v>19</v>
      </c>
      <c r="C35" s="10" t="s">
        <v>580</v>
      </c>
      <c r="D35" s="3"/>
      <c r="E35" s="3">
        <v>2</v>
      </c>
      <c r="F35" s="3">
        <f t="shared" si="3"/>
        <v>149</v>
      </c>
      <c r="G35" s="3" t="s">
        <v>581</v>
      </c>
      <c r="H35" s="5" t="s">
        <v>55</v>
      </c>
    </row>
    <row r="36" spans="1:8" ht="21" x14ac:dyDescent="0.7">
      <c r="A36" s="2">
        <v>34</v>
      </c>
      <c r="B36" s="8" t="s">
        <v>19</v>
      </c>
      <c r="C36" s="10" t="s">
        <v>583</v>
      </c>
      <c r="D36" s="3"/>
      <c r="E36" s="3">
        <v>4</v>
      </c>
      <c r="F36" s="3">
        <f t="shared" si="3"/>
        <v>145</v>
      </c>
      <c r="G36" s="3" t="s">
        <v>584</v>
      </c>
      <c r="H36" s="5" t="s">
        <v>55</v>
      </c>
    </row>
    <row r="37" spans="1:8" ht="21" x14ac:dyDescent="0.7">
      <c r="A37" s="2">
        <v>35</v>
      </c>
      <c r="B37" s="8" t="s">
        <v>19</v>
      </c>
      <c r="C37" s="10" t="s">
        <v>615</v>
      </c>
      <c r="D37" s="3"/>
      <c r="E37" s="3">
        <v>2</v>
      </c>
      <c r="F37" s="3">
        <f t="shared" si="3"/>
        <v>143</v>
      </c>
      <c r="G37" s="3" t="s">
        <v>617</v>
      </c>
      <c r="H37" s="5" t="s">
        <v>55</v>
      </c>
    </row>
    <row r="38" spans="1:8" ht="21" x14ac:dyDescent="0.7">
      <c r="A38" s="2">
        <v>36</v>
      </c>
      <c r="B38" s="8" t="s">
        <v>19</v>
      </c>
      <c r="C38" s="10" t="s">
        <v>623</v>
      </c>
      <c r="D38" s="3"/>
      <c r="E38" s="3">
        <v>5</v>
      </c>
      <c r="F38" s="3">
        <f t="shared" si="3"/>
        <v>138</v>
      </c>
      <c r="G38" s="3" t="s">
        <v>624</v>
      </c>
      <c r="H38" s="5" t="s">
        <v>55</v>
      </c>
    </row>
    <row r="39" spans="1:8" ht="21" x14ac:dyDescent="0.7">
      <c r="A39" s="2">
        <v>37</v>
      </c>
      <c r="B39" s="8" t="s">
        <v>19</v>
      </c>
      <c r="C39" s="10" t="s">
        <v>623</v>
      </c>
      <c r="D39" s="3"/>
      <c r="E39" s="3">
        <v>1</v>
      </c>
      <c r="F39" s="3">
        <f t="shared" si="3"/>
        <v>137</v>
      </c>
      <c r="G39" s="3" t="s">
        <v>625</v>
      </c>
      <c r="H39" s="5" t="s">
        <v>91</v>
      </c>
    </row>
    <row r="40" spans="1:8" ht="21" x14ac:dyDescent="0.7">
      <c r="A40" s="2">
        <v>38</v>
      </c>
      <c r="B40" s="8" t="s">
        <v>19</v>
      </c>
      <c r="C40" s="10" t="s">
        <v>631</v>
      </c>
      <c r="D40" s="3"/>
      <c r="E40" s="3">
        <v>2</v>
      </c>
      <c r="F40" s="3">
        <f t="shared" ref="F40:F45" si="4">F39-E40</f>
        <v>135</v>
      </c>
      <c r="G40" s="3" t="s">
        <v>632</v>
      </c>
      <c r="H40" s="5" t="s">
        <v>55</v>
      </c>
    </row>
    <row r="41" spans="1:8" ht="21" x14ac:dyDescent="0.7">
      <c r="A41" s="2">
        <v>39</v>
      </c>
      <c r="B41" s="8" t="s">
        <v>19</v>
      </c>
      <c r="C41" s="10" t="s">
        <v>649</v>
      </c>
      <c r="D41" s="3"/>
      <c r="E41" s="3">
        <v>2</v>
      </c>
      <c r="F41" s="3">
        <f t="shared" si="4"/>
        <v>133</v>
      </c>
      <c r="G41" s="3" t="s">
        <v>650</v>
      </c>
      <c r="H41" s="5" t="s">
        <v>55</v>
      </c>
    </row>
    <row r="42" spans="1:8" ht="21" x14ac:dyDescent="0.7">
      <c r="A42" s="2">
        <v>40</v>
      </c>
      <c r="B42" s="8" t="s">
        <v>19</v>
      </c>
      <c r="C42" s="10" t="s">
        <v>665</v>
      </c>
      <c r="D42" s="3"/>
      <c r="E42" s="3">
        <v>5</v>
      </c>
      <c r="F42" s="3">
        <f t="shared" si="4"/>
        <v>128</v>
      </c>
      <c r="G42" s="3" t="s">
        <v>666</v>
      </c>
      <c r="H42" s="5" t="s">
        <v>55</v>
      </c>
    </row>
    <row r="43" spans="1:8" ht="21" x14ac:dyDescent="0.7">
      <c r="A43" s="2">
        <v>41</v>
      </c>
      <c r="B43" s="8" t="s">
        <v>19</v>
      </c>
      <c r="C43" s="10" t="s">
        <v>711</v>
      </c>
      <c r="D43" s="3"/>
      <c r="E43" s="3">
        <v>6</v>
      </c>
      <c r="F43" s="3">
        <f t="shared" si="4"/>
        <v>122</v>
      </c>
      <c r="G43" s="3" t="s">
        <v>712</v>
      </c>
      <c r="H43" s="5" t="s">
        <v>55</v>
      </c>
    </row>
    <row r="44" spans="1:8" ht="21" x14ac:dyDescent="0.7">
      <c r="A44" s="2">
        <v>42</v>
      </c>
      <c r="B44" s="8" t="s">
        <v>19</v>
      </c>
      <c r="C44" s="10" t="s">
        <v>719</v>
      </c>
      <c r="D44" s="3"/>
      <c r="E44" s="3">
        <v>1</v>
      </c>
      <c r="F44" s="3">
        <f t="shared" si="4"/>
        <v>121</v>
      </c>
      <c r="G44" s="3" t="s">
        <v>720</v>
      </c>
      <c r="H44" s="5" t="s">
        <v>55</v>
      </c>
    </row>
    <row r="45" spans="1:8" ht="21" x14ac:dyDescent="0.7">
      <c r="A45" s="2">
        <v>43</v>
      </c>
      <c r="B45" s="8" t="s">
        <v>19</v>
      </c>
      <c r="C45" s="10" t="s">
        <v>724</v>
      </c>
      <c r="D45" s="3"/>
      <c r="E45" s="3">
        <v>10</v>
      </c>
      <c r="F45" s="3">
        <f t="shared" si="4"/>
        <v>111</v>
      </c>
      <c r="G45" s="3" t="s">
        <v>725</v>
      </c>
      <c r="H45" s="5" t="s">
        <v>55</v>
      </c>
    </row>
    <row r="46" spans="1:8" ht="21" x14ac:dyDescent="0.7">
      <c r="A46" s="2">
        <v>44</v>
      </c>
      <c r="B46" s="8" t="s">
        <v>19</v>
      </c>
      <c r="C46" s="10" t="s">
        <v>724</v>
      </c>
      <c r="D46" s="3"/>
      <c r="E46" s="3">
        <v>20</v>
      </c>
      <c r="F46" s="3">
        <f t="shared" ref="F46:F51" si="5">F45-E46</f>
        <v>91</v>
      </c>
      <c r="G46" s="3" t="s">
        <v>726</v>
      </c>
      <c r="H46" s="5" t="s">
        <v>55</v>
      </c>
    </row>
    <row r="47" spans="1:8" ht="21" x14ac:dyDescent="0.7">
      <c r="A47" s="2">
        <v>45</v>
      </c>
      <c r="B47" s="8" t="s">
        <v>19</v>
      </c>
      <c r="C47" s="10" t="s">
        <v>735</v>
      </c>
      <c r="D47" s="3"/>
      <c r="E47" s="3">
        <v>1</v>
      </c>
      <c r="F47" s="3">
        <f t="shared" si="5"/>
        <v>90</v>
      </c>
      <c r="G47" s="3">
        <v>4501</v>
      </c>
      <c r="H47" s="5" t="s">
        <v>547</v>
      </c>
    </row>
    <row r="48" spans="1:8" ht="21" x14ac:dyDescent="0.7">
      <c r="A48" s="2">
        <v>46</v>
      </c>
      <c r="B48" s="8" t="s">
        <v>19</v>
      </c>
      <c r="C48" s="10" t="s">
        <v>739</v>
      </c>
      <c r="D48" s="3"/>
      <c r="E48" s="3">
        <v>5</v>
      </c>
      <c r="F48" s="3">
        <f t="shared" si="5"/>
        <v>85</v>
      </c>
      <c r="G48" s="3" t="s">
        <v>740</v>
      </c>
      <c r="H48" s="5" t="s">
        <v>55</v>
      </c>
    </row>
    <row r="49" spans="1:9" ht="21" x14ac:dyDescent="0.7">
      <c r="A49" s="2">
        <v>47</v>
      </c>
      <c r="B49" s="8" t="s">
        <v>19</v>
      </c>
      <c r="C49" s="10" t="s">
        <v>741</v>
      </c>
      <c r="D49" s="3"/>
      <c r="E49" s="3">
        <v>10</v>
      </c>
      <c r="F49" s="3">
        <f t="shared" si="5"/>
        <v>75</v>
      </c>
      <c r="G49" s="3" t="s">
        <v>742</v>
      </c>
      <c r="H49" s="5" t="s">
        <v>55</v>
      </c>
    </row>
    <row r="50" spans="1:9" ht="21" x14ac:dyDescent="0.7">
      <c r="A50" s="2">
        <v>48</v>
      </c>
      <c r="B50" s="8" t="s">
        <v>19</v>
      </c>
      <c r="C50" s="10" t="s">
        <v>784</v>
      </c>
      <c r="D50" s="3"/>
      <c r="E50" s="3">
        <v>3</v>
      </c>
      <c r="F50" s="3">
        <f t="shared" si="5"/>
        <v>72</v>
      </c>
      <c r="G50" s="3">
        <v>4588</v>
      </c>
      <c r="H50" s="5" t="s">
        <v>164</v>
      </c>
    </row>
    <row r="51" spans="1:9" ht="21" x14ac:dyDescent="0.7">
      <c r="A51" s="2">
        <v>49</v>
      </c>
      <c r="B51" s="8" t="s">
        <v>19</v>
      </c>
      <c r="C51" s="10" t="s">
        <v>805</v>
      </c>
      <c r="D51" s="3"/>
      <c r="E51" s="3">
        <v>1</v>
      </c>
      <c r="F51" s="3">
        <f t="shared" si="5"/>
        <v>71</v>
      </c>
      <c r="G51" s="3" t="s">
        <v>806</v>
      </c>
      <c r="H51" s="5" t="s">
        <v>436</v>
      </c>
    </row>
    <row r="52" spans="1:9" ht="21" x14ac:dyDescent="0.7">
      <c r="A52" s="2">
        <v>50</v>
      </c>
      <c r="B52" s="8" t="s">
        <v>19</v>
      </c>
      <c r="C52" s="10" t="s">
        <v>807</v>
      </c>
      <c r="D52" s="3"/>
      <c r="E52" s="3">
        <v>1</v>
      </c>
      <c r="F52" s="3">
        <f t="shared" ref="F52:F57" si="6">F51-E52</f>
        <v>70</v>
      </c>
      <c r="G52" s="3">
        <v>4618</v>
      </c>
      <c r="H52" s="5" t="s">
        <v>812</v>
      </c>
    </row>
    <row r="53" spans="1:9" ht="21" x14ac:dyDescent="0.7">
      <c r="A53" s="2">
        <v>51</v>
      </c>
      <c r="B53" s="8" t="s">
        <v>19</v>
      </c>
      <c r="C53" s="10" t="s">
        <v>829</v>
      </c>
      <c r="D53" s="3"/>
      <c r="E53" s="3">
        <v>1</v>
      </c>
      <c r="F53" s="3">
        <f t="shared" si="6"/>
        <v>69</v>
      </c>
      <c r="G53" s="3">
        <v>4634</v>
      </c>
      <c r="H53" s="5" t="s">
        <v>831</v>
      </c>
    </row>
    <row r="54" spans="1:9" ht="21" x14ac:dyDescent="0.7">
      <c r="A54" s="2">
        <v>52</v>
      </c>
      <c r="B54" s="8" t="s">
        <v>19</v>
      </c>
      <c r="C54" s="10" t="s">
        <v>845</v>
      </c>
      <c r="D54" s="3"/>
      <c r="E54" s="3">
        <v>2</v>
      </c>
      <c r="F54" s="3">
        <f t="shared" si="6"/>
        <v>67</v>
      </c>
      <c r="G54" s="3" t="s">
        <v>846</v>
      </c>
      <c r="H54" s="5" t="s">
        <v>55</v>
      </c>
    </row>
    <row r="55" spans="1:9" ht="21" x14ac:dyDescent="0.7">
      <c r="A55" s="2">
        <v>53</v>
      </c>
      <c r="B55" s="8" t="s">
        <v>19</v>
      </c>
      <c r="C55" s="10" t="s">
        <v>851</v>
      </c>
      <c r="D55" s="3"/>
      <c r="E55" s="3">
        <v>20</v>
      </c>
      <c r="F55" s="3">
        <f t="shared" si="6"/>
        <v>47</v>
      </c>
      <c r="G55" s="3" t="s">
        <v>852</v>
      </c>
      <c r="H55" s="5" t="s">
        <v>55</v>
      </c>
    </row>
    <row r="56" spans="1:9" ht="21" x14ac:dyDescent="0.7">
      <c r="A56" s="2">
        <v>54</v>
      </c>
      <c r="B56" s="8" t="s">
        <v>19</v>
      </c>
      <c r="C56" s="10"/>
      <c r="D56" s="3"/>
      <c r="E56" s="3">
        <v>2</v>
      </c>
      <c r="F56" s="3">
        <f t="shared" si="6"/>
        <v>45</v>
      </c>
      <c r="G56" s="3" t="s">
        <v>804</v>
      </c>
      <c r="H56" s="5" t="s">
        <v>436</v>
      </c>
      <c r="I56" t="s">
        <v>878</v>
      </c>
    </row>
    <row r="57" spans="1:9" ht="21" x14ac:dyDescent="0.7">
      <c r="A57" s="2">
        <v>55</v>
      </c>
      <c r="B57" s="8" t="s">
        <v>19</v>
      </c>
      <c r="C57" s="10" t="s">
        <v>880</v>
      </c>
      <c r="D57" s="3"/>
      <c r="E57" s="3">
        <v>11</v>
      </c>
      <c r="F57" s="3">
        <f t="shared" si="6"/>
        <v>34</v>
      </c>
      <c r="G57" s="3" t="s">
        <v>882</v>
      </c>
      <c r="H57" s="5" t="s">
        <v>881</v>
      </c>
    </row>
    <row r="58" spans="1:9" ht="21" x14ac:dyDescent="0.7">
      <c r="A58" s="2">
        <v>56</v>
      </c>
      <c r="B58" s="8" t="s">
        <v>19</v>
      </c>
      <c r="C58" s="10" t="s">
        <v>892</v>
      </c>
      <c r="D58" s="3"/>
      <c r="E58" s="3">
        <v>1</v>
      </c>
      <c r="F58" s="3">
        <f t="shared" ref="F58:F63" si="7">F57-E58</f>
        <v>33</v>
      </c>
      <c r="G58" s="3" t="s">
        <v>893</v>
      </c>
      <c r="H58" s="5" t="s">
        <v>894</v>
      </c>
    </row>
    <row r="59" spans="1:9" ht="21" x14ac:dyDescent="0.7">
      <c r="A59" s="2">
        <v>57</v>
      </c>
      <c r="B59" s="8" t="s">
        <v>19</v>
      </c>
      <c r="C59" s="10" t="s">
        <v>896</v>
      </c>
      <c r="D59" s="3"/>
      <c r="E59" s="3">
        <v>1</v>
      </c>
      <c r="F59" s="3">
        <f t="shared" si="7"/>
        <v>32</v>
      </c>
      <c r="G59" s="3" t="s">
        <v>897</v>
      </c>
      <c r="H59" s="5" t="s">
        <v>894</v>
      </c>
    </row>
    <row r="60" spans="1:9" ht="21" x14ac:dyDescent="0.7">
      <c r="A60" s="2">
        <v>58</v>
      </c>
      <c r="B60" s="8" t="s">
        <v>19</v>
      </c>
      <c r="C60" s="10" t="s">
        <v>903</v>
      </c>
      <c r="D60" s="3"/>
      <c r="E60" s="3">
        <v>10</v>
      </c>
      <c r="F60" s="3">
        <f t="shared" si="7"/>
        <v>22</v>
      </c>
      <c r="G60" s="3" t="s">
        <v>904</v>
      </c>
      <c r="H60" s="5" t="s">
        <v>55</v>
      </c>
    </row>
    <row r="61" spans="1:9" ht="21" x14ac:dyDescent="0.7">
      <c r="A61" s="2">
        <v>59</v>
      </c>
      <c r="B61" s="8" t="s">
        <v>19</v>
      </c>
      <c r="C61" s="10" t="s">
        <v>908</v>
      </c>
      <c r="D61" s="3"/>
      <c r="E61" s="3">
        <v>5</v>
      </c>
      <c r="F61" s="3">
        <f t="shared" si="7"/>
        <v>17</v>
      </c>
      <c r="G61" s="3" t="s">
        <v>910</v>
      </c>
      <c r="H61" s="5" t="s">
        <v>55</v>
      </c>
    </row>
    <row r="62" spans="1:9" ht="21" x14ac:dyDescent="0.7">
      <c r="A62" s="2">
        <v>60</v>
      </c>
      <c r="B62" s="8" t="s">
        <v>19</v>
      </c>
      <c r="C62" s="10" t="s">
        <v>931</v>
      </c>
      <c r="D62" s="3"/>
      <c r="E62" s="3">
        <v>1</v>
      </c>
      <c r="F62" s="3">
        <f t="shared" si="7"/>
        <v>16</v>
      </c>
      <c r="G62" s="3">
        <v>4752</v>
      </c>
      <c r="H62" s="5" t="s">
        <v>933</v>
      </c>
    </row>
    <row r="63" spans="1:9" ht="21" x14ac:dyDescent="0.7">
      <c r="A63" s="2">
        <v>61</v>
      </c>
      <c r="B63" s="8" t="s">
        <v>19</v>
      </c>
      <c r="C63" s="10" t="s">
        <v>941</v>
      </c>
      <c r="D63" s="3"/>
      <c r="E63" s="3">
        <v>1</v>
      </c>
      <c r="F63" s="3">
        <f t="shared" si="7"/>
        <v>15</v>
      </c>
      <c r="G63" s="3">
        <v>4763</v>
      </c>
      <c r="H63" s="5" t="s">
        <v>942</v>
      </c>
    </row>
    <row r="64" spans="1:9" ht="21" x14ac:dyDescent="0.7">
      <c r="A64" s="2">
        <v>62</v>
      </c>
      <c r="B64" s="8" t="s">
        <v>19</v>
      </c>
      <c r="C64" s="10" t="s">
        <v>949</v>
      </c>
      <c r="D64" s="3"/>
      <c r="E64" s="3">
        <v>1</v>
      </c>
      <c r="F64" s="3">
        <f>F63-E64</f>
        <v>14</v>
      </c>
      <c r="G64" s="3" t="s">
        <v>950</v>
      </c>
      <c r="H64" s="5" t="s">
        <v>951</v>
      </c>
    </row>
    <row r="65" spans="1:8" ht="21" x14ac:dyDescent="0.7">
      <c r="A65" s="2">
        <v>63</v>
      </c>
      <c r="B65" s="8" t="s">
        <v>19</v>
      </c>
      <c r="C65" s="10" t="s">
        <v>949</v>
      </c>
      <c r="D65" s="3"/>
      <c r="E65" s="3">
        <v>7</v>
      </c>
      <c r="F65" s="3">
        <f>F64-E65</f>
        <v>7</v>
      </c>
      <c r="G65" s="3" t="s">
        <v>952</v>
      </c>
      <c r="H65" s="5" t="s">
        <v>55</v>
      </c>
    </row>
    <row r="66" spans="1:8" ht="21" x14ac:dyDescent="0.7">
      <c r="A66" s="2">
        <v>64</v>
      </c>
      <c r="B66" s="8" t="s">
        <v>19</v>
      </c>
      <c r="C66" s="10" t="s">
        <v>953</v>
      </c>
      <c r="D66" s="3"/>
      <c r="E66" s="3">
        <v>2</v>
      </c>
      <c r="F66" s="3">
        <f>F65-E66</f>
        <v>5</v>
      </c>
      <c r="G66" s="3" t="s">
        <v>954</v>
      </c>
      <c r="H66" s="5" t="s">
        <v>55</v>
      </c>
    </row>
    <row r="67" spans="1:8" ht="21" x14ac:dyDescent="0.7">
      <c r="A67" s="2">
        <v>65</v>
      </c>
      <c r="B67" s="8" t="s">
        <v>19</v>
      </c>
      <c r="C67" s="10" t="s">
        <v>975</v>
      </c>
      <c r="D67" s="3"/>
      <c r="E67" s="3">
        <v>4</v>
      </c>
      <c r="F67" s="3">
        <f>F66-E67</f>
        <v>1</v>
      </c>
      <c r="G67" s="3" t="s">
        <v>976</v>
      </c>
      <c r="H67" s="5" t="s">
        <v>55</v>
      </c>
    </row>
    <row r="68" spans="1:8" ht="21" x14ac:dyDescent="0.7">
      <c r="A68" s="2">
        <v>66</v>
      </c>
      <c r="B68" s="8" t="s">
        <v>19</v>
      </c>
      <c r="C68" s="10" t="s">
        <v>982</v>
      </c>
      <c r="D68" s="3"/>
      <c r="E68" s="3">
        <v>2</v>
      </c>
      <c r="F68" s="3">
        <f>F67-E68</f>
        <v>-1</v>
      </c>
      <c r="G68" s="3">
        <v>4844</v>
      </c>
      <c r="H68" s="5" t="s">
        <v>472</v>
      </c>
    </row>
    <row r="69" spans="1:8" ht="21" x14ac:dyDescent="0.7">
      <c r="A69" s="2">
        <v>67</v>
      </c>
      <c r="B69" s="8" t="s">
        <v>19</v>
      </c>
      <c r="C69" s="10"/>
      <c r="D69" s="3"/>
      <c r="E69" s="3"/>
      <c r="F69" s="3"/>
      <c r="G69" s="3"/>
      <c r="H69" s="5"/>
    </row>
    <row r="70" spans="1:8" ht="21" x14ac:dyDescent="0.7">
      <c r="A70" s="2">
        <v>68</v>
      </c>
      <c r="B70" s="8" t="s">
        <v>19</v>
      </c>
      <c r="C70" s="10"/>
      <c r="D70" s="3"/>
      <c r="E70" s="3"/>
      <c r="F70" s="3"/>
      <c r="G70" s="3"/>
      <c r="H70" s="5"/>
    </row>
    <row r="71" spans="1:8" ht="21" x14ac:dyDescent="0.7">
      <c r="A71" s="2">
        <v>69</v>
      </c>
      <c r="B71" s="8" t="s">
        <v>19</v>
      </c>
      <c r="C71" s="10"/>
      <c r="D71" s="3"/>
      <c r="E71" s="3"/>
      <c r="F71" s="3"/>
      <c r="G71" s="3"/>
      <c r="H71" s="5"/>
    </row>
    <row r="72" spans="1:8" ht="21" x14ac:dyDescent="0.7">
      <c r="A72" s="2">
        <v>70</v>
      </c>
      <c r="B72" s="8" t="s">
        <v>19</v>
      </c>
      <c r="C72" s="10"/>
      <c r="D72" s="3"/>
      <c r="E72" s="3"/>
      <c r="F72" s="3"/>
      <c r="G72" s="3"/>
      <c r="H72" s="5"/>
    </row>
  </sheetData>
  <mergeCells count="2">
    <mergeCell ref="G5:H5"/>
    <mergeCell ref="G20:H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39997558519241921"/>
  </sheetPr>
  <dimension ref="A1:I321"/>
  <sheetViews>
    <sheetView rightToLeft="1" zoomScale="115" zoomScaleNormal="115" workbookViewId="0">
      <pane ySplit="1" topLeftCell="A311" activePane="bottomLeft" state="frozen"/>
      <selection pane="bottomLeft" activeCell="F319" sqref="F319"/>
    </sheetView>
  </sheetViews>
  <sheetFormatPr defaultRowHeight="14.4" x14ac:dyDescent="0.3"/>
  <cols>
    <col min="2" max="2" width="12.44140625" bestFit="1" customWidth="1"/>
    <col min="3" max="3" width="11.44140625" customWidth="1"/>
    <col min="7" max="7" width="11.88671875" bestFit="1" customWidth="1"/>
    <col min="8" max="8" width="32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20</v>
      </c>
      <c r="C2" s="10" t="s">
        <v>60</v>
      </c>
      <c r="D2" s="3"/>
      <c r="E2" s="3">
        <v>4</v>
      </c>
      <c r="F2" s="3">
        <v>312</v>
      </c>
      <c r="G2" s="3">
        <v>3649</v>
      </c>
      <c r="H2" s="5" t="s">
        <v>61</v>
      </c>
    </row>
    <row r="3" spans="1:8" ht="21" x14ac:dyDescent="0.7">
      <c r="A3" s="2">
        <v>2</v>
      </c>
      <c r="B3" s="8" t="s">
        <v>20</v>
      </c>
      <c r="C3" s="10" t="s">
        <v>92</v>
      </c>
      <c r="D3" s="3"/>
      <c r="E3" s="3">
        <v>1</v>
      </c>
      <c r="F3" s="3">
        <f t="shared" ref="F3:F9" si="0">F2-E3</f>
        <v>311</v>
      </c>
      <c r="G3" s="3">
        <v>3650</v>
      </c>
      <c r="H3" s="5" t="s">
        <v>93</v>
      </c>
    </row>
    <row r="4" spans="1:8" ht="21" x14ac:dyDescent="0.7">
      <c r="A4" s="2">
        <v>3</v>
      </c>
      <c r="B4" s="8" t="s">
        <v>20</v>
      </c>
      <c r="C4" s="10" t="s">
        <v>125</v>
      </c>
      <c r="D4" s="3"/>
      <c r="E4" s="3">
        <v>2</v>
      </c>
      <c r="F4" s="3">
        <f t="shared" si="0"/>
        <v>309</v>
      </c>
      <c r="G4" s="3">
        <v>3678</v>
      </c>
      <c r="H4" s="5" t="s">
        <v>126</v>
      </c>
    </row>
    <row r="5" spans="1:8" ht="21" x14ac:dyDescent="0.7">
      <c r="A5" s="2">
        <v>4</v>
      </c>
      <c r="B5" s="8" t="s">
        <v>20</v>
      </c>
      <c r="C5" s="10" t="s">
        <v>129</v>
      </c>
      <c r="D5" s="3"/>
      <c r="E5" s="3">
        <v>2</v>
      </c>
      <c r="F5" s="3">
        <f t="shared" si="0"/>
        <v>307</v>
      </c>
      <c r="G5" s="3" t="s">
        <v>130</v>
      </c>
      <c r="H5" s="5" t="s">
        <v>55</v>
      </c>
    </row>
    <row r="6" spans="1:8" ht="21" x14ac:dyDescent="0.7">
      <c r="A6" s="2">
        <v>5</v>
      </c>
      <c r="B6" s="8" t="s">
        <v>20</v>
      </c>
      <c r="C6" s="10" t="s">
        <v>133</v>
      </c>
      <c r="D6" s="3"/>
      <c r="E6" s="3">
        <v>1</v>
      </c>
      <c r="F6" s="3">
        <f t="shared" si="0"/>
        <v>306</v>
      </c>
      <c r="G6" s="3">
        <v>3684</v>
      </c>
      <c r="H6" s="5" t="s">
        <v>121</v>
      </c>
    </row>
    <row r="7" spans="1:8" ht="20.25" customHeight="1" x14ac:dyDescent="0.3">
      <c r="A7" s="2">
        <v>6</v>
      </c>
      <c r="B7" s="8"/>
      <c r="C7" s="10"/>
      <c r="D7" s="3"/>
      <c r="E7" s="3">
        <v>4</v>
      </c>
      <c r="F7" s="3">
        <f>F6-E7</f>
        <v>302</v>
      </c>
      <c r="G7" s="46" t="s">
        <v>194</v>
      </c>
      <c r="H7" s="47"/>
    </row>
    <row r="8" spans="1:8" ht="21" x14ac:dyDescent="0.7">
      <c r="A8" s="2">
        <v>7</v>
      </c>
      <c r="B8" s="8" t="s">
        <v>20</v>
      </c>
      <c r="C8" s="10" t="s">
        <v>142</v>
      </c>
      <c r="D8" s="3"/>
      <c r="E8" s="3">
        <v>2</v>
      </c>
      <c r="F8" s="3">
        <f>F7-E8</f>
        <v>300</v>
      </c>
      <c r="G8" s="3">
        <v>3718</v>
      </c>
      <c r="H8" s="5" t="s">
        <v>121</v>
      </c>
    </row>
    <row r="9" spans="1:8" ht="21" x14ac:dyDescent="0.7">
      <c r="A9" s="2">
        <v>8</v>
      </c>
      <c r="B9" s="8" t="s">
        <v>20</v>
      </c>
      <c r="C9" s="10" t="s">
        <v>152</v>
      </c>
      <c r="D9" s="3"/>
      <c r="E9" s="3">
        <v>5</v>
      </c>
      <c r="F9" s="3">
        <f t="shared" si="0"/>
        <v>295</v>
      </c>
      <c r="G9" s="3">
        <v>3749</v>
      </c>
      <c r="H9" s="5" t="s">
        <v>153</v>
      </c>
    </row>
    <row r="10" spans="1:8" ht="21" x14ac:dyDescent="0.7">
      <c r="A10" s="2">
        <v>9</v>
      </c>
      <c r="B10" s="8" t="s">
        <v>20</v>
      </c>
      <c r="C10" s="10" t="s">
        <v>154</v>
      </c>
      <c r="D10" s="3"/>
      <c r="E10" s="3">
        <v>3</v>
      </c>
      <c r="F10" s="3">
        <f t="shared" ref="F10:F15" si="1">F9-E10</f>
        <v>292</v>
      </c>
      <c r="G10" s="3" t="s">
        <v>155</v>
      </c>
      <c r="H10" s="5" t="s">
        <v>55</v>
      </c>
    </row>
    <row r="11" spans="1:8" ht="21" x14ac:dyDescent="0.7">
      <c r="A11" s="2">
        <v>10</v>
      </c>
      <c r="B11" s="8" t="s">
        <v>20</v>
      </c>
      <c r="C11" s="10" t="s">
        <v>158</v>
      </c>
      <c r="D11" s="3"/>
      <c r="E11" s="3">
        <v>2</v>
      </c>
      <c r="F11" s="3">
        <f t="shared" si="1"/>
        <v>290</v>
      </c>
      <c r="G11" s="3" t="s">
        <v>159</v>
      </c>
      <c r="H11" s="5" t="str">
        <f>H10</f>
        <v>طالب زاده</v>
      </c>
    </row>
    <row r="12" spans="1:8" ht="21" x14ac:dyDescent="0.7">
      <c r="A12" s="2">
        <v>11</v>
      </c>
      <c r="B12" s="8" t="s">
        <v>20</v>
      </c>
      <c r="C12" s="10" t="s">
        <v>174</v>
      </c>
      <c r="D12" s="3"/>
      <c r="E12" s="3">
        <v>3</v>
      </c>
      <c r="F12" s="3">
        <f t="shared" si="1"/>
        <v>287</v>
      </c>
      <c r="G12" s="3" t="s">
        <v>175</v>
      </c>
      <c r="H12" s="5" t="s">
        <v>55</v>
      </c>
    </row>
    <row r="13" spans="1:8" ht="21" x14ac:dyDescent="0.7">
      <c r="A13" s="2">
        <v>12</v>
      </c>
      <c r="B13" s="8" t="s">
        <v>20</v>
      </c>
      <c r="C13" s="10" t="s">
        <v>206</v>
      </c>
      <c r="D13" s="3"/>
      <c r="E13" s="3">
        <v>2</v>
      </c>
      <c r="F13" s="3">
        <f t="shared" si="1"/>
        <v>285</v>
      </c>
      <c r="G13" s="3">
        <v>3804</v>
      </c>
      <c r="H13" s="5" t="s">
        <v>121</v>
      </c>
    </row>
    <row r="14" spans="1:8" ht="21" x14ac:dyDescent="0.7">
      <c r="A14" s="2">
        <v>13</v>
      </c>
      <c r="B14" s="8" t="s">
        <v>20</v>
      </c>
      <c r="C14" s="10" t="s">
        <v>208</v>
      </c>
      <c r="D14" s="3"/>
      <c r="E14" s="3">
        <v>1</v>
      </c>
      <c r="F14" s="3">
        <f t="shared" si="1"/>
        <v>284</v>
      </c>
      <c r="G14" s="3">
        <v>3807</v>
      </c>
      <c r="H14" s="5" t="s">
        <v>209</v>
      </c>
    </row>
    <row r="15" spans="1:8" ht="21" x14ac:dyDescent="0.7">
      <c r="A15" s="2">
        <v>14</v>
      </c>
      <c r="B15" s="8" t="s">
        <v>20</v>
      </c>
      <c r="C15" s="10" t="s">
        <v>217</v>
      </c>
      <c r="D15" s="3"/>
      <c r="E15" s="3">
        <v>2</v>
      </c>
      <c r="F15" s="3">
        <f t="shared" si="1"/>
        <v>282</v>
      </c>
      <c r="G15" s="3">
        <v>3823</v>
      </c>
      <c r="H15" s="5" t="s">
        <v>218</v>
      </c>
    </row>
    <row r="16" spans="1:8" ht="21" x14ac:dyDescent="0.7">
      <c r="A16" s="2">
        <v>15</v>
      </c>
      <c r="B16" s="8" t="s">
        <v>20</v>
      </c>
      <c r="C16" s="10" t="s">
        <v>219</v>
      </c>
      <c r="D16" s="3"/>
      <c r="E16" s="3">
        <v>3</v>
      </c>
      <c r="F16" s="3">
        <f t="shared" ref="F16:F21" si="2">F15-E16</f>
        <v>279</v>
      </c>
      <c r="G16" s="3" t="s">
        <v>220</v>
      </c>
      <c r="H16" s="5" t="s">
        <v>55</v>
      </c>
    </row>
    <row r="17" spans="1:8" ht="21" x14ac:dyDescent="0.7">
      <c r="A17" s="2">
        <v>16</v>
      </c>
      <c r="B17" s="8" t="s">
        <v>20</v>
      </c>
      <c r="C17" s="10" t="s">
        <v>251</v>
      </c>
      <c r="D17" s="3"/>
      <c r="E17" s="3">
        <v>5</v>
      </c>
      <c r="F17" s="3">
        <f t="shared" si="2"/>
        <v>274</v>
      </c>
      <c r="G17" s="3" t="s">
        <v>252</v>
      </c>
      <c r="H17" s="5" t="s">
        <v>49</v>
      </c>
    </row>
    <row r="18" spans="1:8" ht="21" x14ac:dyDescent="0.7">
      <c r="A18" s="2">
        <v>17</v>
      </c>
      <c r="B18" s="8" t="s">
        <v>20</v>
      </c>
      <c r="C18" s="10" t="s">
        <v>261</v>
      </c>
      <c r="D18" s="3"/>
      <c r="E18" s="3">
        <v>2</v>
      </c>
      <c r="F18" s="3">
        <f t="shared" si="2"/>
        <v>272</v>
      </c>
      <c r="G18" s="3" t="s">
        <v>260</v>
      </c>
      <c r="H18" s="5" t="s">
        <v>55</v>
      </c>
    </row>
    <row r="19" spans="1:8" ht="21" x14ac:dyDescent="0.7">
      <c r="A19" s="2">
        <v>18</v>
      </c>
      <c r="B19" s="8" t="s">
        <v>20</v>
      </c>
      <c r="C19" s="10" t="s">
        <v>264</v>
      </c>
      <c r="D19" s="3"/>
      <c r="E19" s="3">
        <v>1</v>
      </c>
      <c r="F19" s="3">
        <f t="shared" si="2"/>
        <v>271</v>
      </c>
      <c r="G19" s="3">
        <v>3875</v>
      </c>
      <c r="H19" s="5" t="s">
        <v>121</v>
      </c>
    </row>
    <row r="20" spans="1:8" ht="21" x14ac:dyDescent="0.7">
      <c r="A20" s="2">
        <v>19</v>
      </c>
      <c r="B20" s="8" t="s">
        <v>20</v>
      </c>
      <c r="C20" s="10" t="s">
        <v>271</v>
      </c>
      <c r="D20" s="3"/>
      <c r="E20" s="3">
        <v>4</v>
      </c>
      <c r="F20" s="3">
        <f t="shared" si="2"/>
        <v>267</v>
      </c>
      <c r="G20" s="3">
        <v>3879</v>
      </c>
      <c r="H20" s="5" t="s">
        <v>61</v>
      </c>
    </row>
    <row r="21" spans="1:8" ht="21" x14ac:dyDescent="0.7">
      <c r="A21" s="2">
        <v>20</v>
      </c>
      <c r="B21" s="8" t="s">
        <v>20</v>
      </c>
      <c r="C21" s="10" t="s">
        <v>276</v>
      </c>
      <c r="D21" s="3"/>
      <c r="E21" s="3">
        <v>2</v>
      </c>
      <c r="F21" s="3">
        <f t="shared" si="2"/>
        <v>265</v>
      </c>
      <c r="G21" s="3" t="s">
        <v>278</v>
      </c>
      <c r="H21" s="5" t="s">
        <v>55</v>
      </c>
    </row>
    <row r="22" spans="1:8" ht="21" x14ac:dyDescent="0.7">
      <c r="A22" s="2">
        <v>21</v>
      </c>
      <c r="B22" s="8" t="s">
        <v>20</v>
      </c>
      <c r="C22" s="10" t="s">
        <v>281</v>
      </c>
      <c r="D22" s="3"/>
      <c r="E22" s="3">
        <v>1</v>
      </c>
      <c r="F22" s="3">
        <f t="shared" ref="F22:F27" si="3">F21-E22</f>
        <v>264</v>
      </c>
      <c r="G22" s="3">
        <v>3902</v>
      </c>
      <c r="H22" s="5" t="s">
        <v>282</v>
      </c>
    </row>
    <row r="23" spans="1:8" ht="21" x14ac:dyDescent="0.7">
      <c r="A23" s="2">
        <v>22</v>
      </c>
      <c r="B23" s="8" t="s">
        <v>20</v>
      </c>
      <c r="C23" s="10" t="s">
        <v>301</v>
      </c>
      <c r="D23" s="3"/>
      <c r="E23" s="3">
        <v>15</v>
      </c>
      <c r="F23" s="3">
        <f t="shared" si="3"/>
        <v>249</v>
      </c>
      <c r="G23" s="3">
        <v>3924</v>
      </c>
      <c r="H23" s="5" t="s">
        <v>43</v>
      </c>
    </row>
    <row r="24" spans="1:8" ht="21" x14ac:dyDescent="0.7">
      <c r="A24" s="2">
        <v>23</v>
      </c>
      <c r="B24" s="8" t="s">
        <v>20</v>
      </c>
      <c r="C24" s="10" t="s">
        <v>310</v>
      </c>
      <c r="D24" s="3"/>
      <c r="E24" s="3">
        <v>1</v>
      </c>
      <c r="F24" s="3">
        <f t="shared" si="3"/>
        <v>248</v>
      </c>
      <c r="G24" s="3">
        <v>3932</v>
      </c>
      <c r="H24" s="5" t="s">
        <v>282</v>
      </c>
    </row>
    <row r="25" spans="1:8" ht="21" x14ac:dyDescent="0.7">
      <c r="A25" s="2">
        <v>24</v>
      </c>
      <c r="B25" s="8" t="s">
        <v>20</v>
      </c>
      <c r="C25" s="10" t="s">
        <v>320</v>
      </c>
      <c r="D25" s="3"/>
      <c r="E25" s="3">
        <v>5</v>
      </c>
      <c r="F25" s="3">
        <f t="shared" si="3"/>
        <v>243</v>
      </c>
      <c r="G25" s="3" t="s">
        <v>321</v>
      </c>
      <c r="H25" s="5" t="s">
        <v>55</v>
      </c>
    </row>
    <row r="26" spans="1:8" ht="21" x14ac:dyDescent="0.7">
      <c r="A26" s="2">
        <v>25</v>
      </c>
      <c r="B26" s="8" t="s">
        <v>20</v>
      </c>
      <c r="C26" s="10" t="s">
        <v>324</v>
      </c>
      <c r="D26" s="3"/>
      <c r="E26" s="3">
        <v>1</v>
      </c>
      <c r="F26" s="3">
        <f t="shared" si="3"/>
        <v>242</v>
      </c>
      <c r="G26" s="3">
        <v>3954</v>
      </c>
      <c r="H26" s="5" t="s">
        <v>128</v>
      </c>
    </row>
    <row r="27" spans="1:8" ht="21" x14ac:dyDescent="0.7">
      <c r="A27" s="2">
        <v>26</v>
      </c>
      <c r="B27" s="8" t="s">
        <v>20</v>
      </c>
      <c r="C27" s="10" t="s">
        <v>325</v>
      </c>
      <c r="D27" s="3"/>
      <c r="E27" s="3">
        <v>2</v>
      </c>
      <c r="F27" s="3">
        <f t="shared" si="3"/>
        <v>240</v>
      </c>
      <c r="G27" s="3" t="s">
        <v>326</v>
      </c>
      <c r="H27" s="5" t="s">
        <v>55</v>
      </c>
    </row>
    <row r="28" spans="1:8" ht="21" x14ac:dyDescent="0.7">
      <c r="A28" s="2">
        <v>27</v>
      </c>
      <c r="B28" s="8" t="s">
        <v>20</v>
      </c>
      <c r="C28" s="10" t="s">
        <v>345</v>
      </c>
      <c r="D28" s="3"/>
      <c r="E28" s="3">
        <v>1</v>
      </c>
      <c r="F28" s="3">
        <f>F27-E28</f>
        <v>239</v>
      </c>
      <c r="G28" s="3">
        <v>4005</v>
      </c>
      <c r="H28" s="5" t="s">
        <v>346</v>
      </c>
    </row>
    <row r="29" spans="1:8" ht="21" x14ac:dyDescent="0.7">
      <c r="A29" s="2">
        <v>28</v>
      </c>
      <c r="B29" s="8" t="s">
        <v>20</v>
      </c>
      <c r="C29" s="10" t="s">
        <v>347</v>
      </c>
      <c r="D29" s="3"/>
      <c r="E29" s="3">
        <v>5</v>
      </c>
      <c r="F29" s="3">
        <f>F28-E29</f>
        <v>234</v>
      </c>
      <c r="G29" s="3">
        <v>4007</v>
      </c>
      <c r="H29" s="5" t="s">
        <v>153</v>
      </c>
    </row>
    <row r="30" spans="1:8" ht="21" x14ac:dyDescent="0.7">
      <c r="A30" s="2">
        <v>29</v>
      </c>
      <c r="B30" s="8" t="s">
        <v>20</v>
      </c>
      <c r="C30" s="10" t="s">
        <v>348</v>
      </c>
      <c r="D30" s="3"/>
      <c r="E30" s="3">
        <v>1</v>
      </c>
      <c r="F30" s="3">
        <f>F29-E30</f>
        <v>233</v>
      </c>
      <c r="G30" s="3">
        <v>4009</v>
      </c>
      <c r="H30" s="5" t="s">
        <v>350</v>
      </c>
    </row>
    <row r="31" spans="1:8" ht="21" x14ac:dyDescent="0.7">
      <c r="A31" s="2">
        <v>30</v>
      </c>
      <c r="B31" s="8" t="s">
        <v>20</v>
      </c>
      <c r="C31" s="10" t="s">
        <v>355</v>
      </c>
      <c r="D31" s="3"/>
      <c r="E31" s="3">
        <v>2</v>
      </c>
      <c r="F31" s="3">
        <f>F30-E31</f>
        <v>231</v>
      </c>
      <c r="G31" s="3" t="s">
        <v>356</v>
      </c>
      <c r="H31" s="5" t="s">
        <v>55</v>
      </c>
    </row>
    <row r="32" spans="1:8" ht="21" x14ac:dyDescent="0.7">
      <c r="A32" s="2">
        <v>31</v>
      </c>
      <c r="B32" s="8" t="s">
        <v>20</v>
      </c>
      <c r="C32" s="10" t="s">
        <v>360</v>
      </c>
      <c r="D32" s="3"/>
      <c r="E32" s="3">
        <v>1</v>
      </c>
      <c r="F32" s="3">
        <f>F31-E32</f>
        <v>230</v>
      </c>
      <c r="G32" s="3">
        <v>4018</v>
      </c>
      <c r="H32" s="5" t="s">
        <v>359</v>
      </c>
    </row>
    <row r="33" spans="1:9" ht="20.25" customHeight="1" x14ac:dyDescent="0.3">
      <c r="A33" s="2">
        <v>32</v>
      </c>
      <c r="B33" s="8" t="s">
        <v>20</v>
      </c>
      <c r="C33" s="10"/>
      <c r="D33" s="3"/>
      <c r="E33" s="3"/>
      <c r="F33" s="3">
        <v>229</v>
      </c>
      <c r="G33" s="48" t="s">
        <v>376</v>
      </c>
      <c r="H33" s="49"/>
      <c r="I33" t="s">
        <v>377</v>
      </c>
    </row>
    <row r="34" spans="1:9" ht="21" x14ac:dyDescent="0.7">
      <c r="A34" s="2">
        <v>33</v>
      </c>
      <c r="B34" s="8" t="s">
        <v>20</v>
      </c>
      <c r="C34" s="10" t="s">
        <v>385</v>
      </c>
      <c r="D34" s="3"/>
      <c r="E34" s="3">
        <v>5</v>
      </c>
      <c r="F34" s="3">
        <f t="shared" ref="F34:F39" si="4">F33-E34</f>
        <v>224</v>
      </c>
      <c r="G34" s="3">
        <v>4076</v>
      </c>
      <c r="H34" s="5" t="s">
        <v>386</v>
      </c>
    </row>
    <row r="35" spans="1:9" ht="21" x14ac:dyDescent="0.7">
      <c r="A35" s="2">
        <v>34</v>
      </c>
      <c r="B35" s="8" t="s">
        <v>20</v>
      </c>
      <c r="C35" s="10" t="s">
        <v>389</v>
      </c>
      <c r="D35" s="3"/>
      <c r="E35" s="3">
        <v>2</v>
      </c>
      <c r="F35" s="3">
        <f t="shared" si="4"/>
        <v>222</v>
      </c>
      <c r="G35" s="3" t="s">
        <v>391</v>
      </c>
      <c r="H35" s="5" t="s">
        <v>55</v>
      </c>
    </row>
    <row r="36" spans="1:9" ht="21" x14ac:dyDescent="0.7">
      <c r="A36" s="2">
        <v>35</v>
      </c>
      <c r="B36" s="8" t="s">
        <v>20</v>
      </c>
      <c r="C36" s="10" t="s">
        <v>389</v>
      </c>
      <c r="D36" s="3"/>
      <c r="E36" s="3">
        <v>1</v>
      </c>
      <c r="F36" s="3">
        <f t="shared" si="4"/>
        <v>221</v>
      </c>
      <c r="G36" s="3">
        <v>4077</v>
      </c>
      <c r="H36" s="5" t="s">
        <v>282</v>
      </c>
    </row>
    <row r="37" spans="1:9" ht="21" x14ac:dyDescent="0.7">
      <c r="A37" s="2">
        <v>36</v>
      </c>
      <c r="B37" s="8" t="s">
        <v>20</v>
      </c>
      <c r="C37" s="10" t="s">
        <v>397</v>
      </c>
      <c r="D37" s="3"/>
      <c r="E37" s="3">
        <v>10</v>
      </c>
      <c r="F37" s="3">
        <f t="shared" si="4"/>
        <v>211</v>
      </c>
      <c r="G37" s="3">
        <v>4088</v>
      </c>
      <c r="H37" s="5" t="s">
        <v>400</v>
      </c>
    </row>
    <row r="38" spans="1:9" ht="21" x14ac:dyDescent="0.7">
      <c r="A38" s="2">
        <v>37</v>
      </c>
      <c r="B38" s="8" t="s">
        <v>20</v>
      </c>
      <c r="C38" s="10" t="s">
        <v>420</v>
      </c>
      <c r="D38" s="3"/>
      <c r="E38" s="3">
        <v>1</v>
      </c>
      <c r="F38" s="3">
        <f t="shared" si="4"/>
        <v>210</v>
      </c>
      <c r="G38" s="3" t="s">
        <v>422</v>
      </c>
      <c r="H38" s="5" t="s">
        <v>55</v>
      </c>
    </row>
    <row r="39" spans="1:9" ht="21" x14ac:dyDescent="0.7">
      <c r="A39" s="2">
        <v>38</v>
      </c>
      <c r="B39" s="8" t="s">
        <v>20</v>
      </c>
      <c r="C39" s="10" t="s">
        <v>426</v>
      </c>
      <c r="D39" s="3"/>
      <c r="E39" s="3">
        <v>2</v>
      </c>
      <c r="F39" s="3">
        <f t="shared" si="4"/>
        <v>208</v>
      </c>
      <c r="G39" s="3" t="s">
        <v>428</v>
      </c>
      <c r="H39" s="5" t="s">
        <v>55</v>
      </c>
    </row>
    <row r="40" spans="1:9" ht="21" x14ac:dyDescent="0.7">
      <c r="A40" s="2">
        <v>39</v>
      </c>
      <c r="B40" s="8" t="s">
        <v>20</v>
      </c>
      <c r="C40" s="10" t="s">
        <v>432</v>
      </c>
      <c r="D40" s="3"/>
      <c r="E40" s="3">
        <v>2</v>
      </c>
      <c r="F40" s="3">
        <f t="shared" ref="F40:F45" si="5">F39-E40</f>
        <v>206</v>
      </c>
      <c r="G40" s="3">
        <v>4127</v>
      </c>
      <c r="H40" s="5" t="s">
        <v>433</v>
      </c>
    </row>
    <row r="41" spans="1:9" ht="21" x14ac:dyDescent="0.7">
      <c r="A41" s="2">
        <v>40</v>
      </c>
      <c r="B41" s="8" t="s">
        <v>20</v>
      </c>
      <c r="C41" s="10" t="s">
        <v>437</v>
      </c>
      <c r="D41" s="3"/>
      <c r="E41" s="3">
        <v>2</v>
      </c>
      <c r="F41" s="3">
        <f t="shared" si="5"/>
        <v>204</v>
      </c>
      <c r="G41" s="3" t="s">
        <v>438</v>
      </c>
      <c r="H41" s="5" t="s">
        <v>49</v>
      </c>
    </row>
    <row r="42" spans="1:9" ht="21" x14ac:dyDescent="0.7">
      <c r="A42" s="2">
        <v>41</v>
      </c>
      <c r="B42" s="8" t="s">
        <v>20</v>
      </c>
      <c r="C42" s="10" t="s">
        <v>440</v>
      </c>
      <c r="D42" s="3"/>
      <c r="E42" s="3">
        <v>1</v>
      </c>
      <c r="F42" s="3">
        <f t="shared" si="5"/>
        <v>203</v>
      </c>
      <c r="G42" s="3" t="s">
        <v>441</v>
      </c>
      <c r="H42" s="5" t="s">
        <v>49</v>
      </c>
    </row>
    <row r="43" spans="1:9" ht="21" x14ac:dyDescent="0.7">
      <c r="A43" s="2">
        <v>42</v>
      </c>
      <c r="B43" s="8" t="s">
        <v>20</v>
      </c>
      <c r="C43" s="10" t="s">
        <v>446</v>
      </c>
      <c r="D43" s="3"/>
      <c r="E43" s="3">
        <v>2</v>
      </c>
      <c r="F43" s="3">
        <f t="shared" si="5"/>
        <v>201</v>
      </c>
      <c r="G43" s="3" t="s">
        <v>447</v>
      </c>
      <c r="H43" s="5" t="s">
        <v>55</v>
      </c>
    </row>
    <row r="44" spans="1:9" ht="21" x14ac:dyDescent="0.7">
      <c r="A44" s="2">
        <v>43</v>
      </c>
      <c r="B44" s="8" t="s">
        <v>20</v>
      </c>
      <c r="C44" s="10" t="s">
        <v>448</v>
      </c>
      <c r="D44" s="3"/>
      <c r="E44" s="3">
        <v>4</v>
      </c>
      <c r="F44" s="3">
        <f t="shared" si="5"/>
        <v>197</v>
      </c>
      <c r="G44" s="3" t="s">
        <v>449</v>
      </c>
      <c r="H44" s="5" t="s">
        <v>55</v>
      </c>
    </row>
    <row r="45" spans="1:9" ht="21" x14ac:dyDescent="0.7">
      <c r="A45" s="2">
        <v>44</v>
      </c>
      <c r="B45" s="8" t="s">
        <v>20</v>
      </c>
      <c r="C45" s="10" t="s">
        <v>453</v>
      </c>
      <c r="D45" s="3"/>
      <c r="E45" s="3">
        <v>1</v>
      </c>
      <c r="F45" s="3">
        <f t="shared" si="5"/>
        <v>196</v>
      </c>
      <c r="G45" s="3" t="s">
        <v>451</v>
      </c>
      <c r="H45" s="5" t="s">
        <v>452</v>
      </c>
    </row>
    <row r="46" spans="1:9" ht="21" x14ac:dyDescent="0.7">
      <c r="A46" s="2">
        <v>45</v>
      </c>
      <c r="B46" s="8" t="s">
        <v>20</v>
      </c>
      <c r="C46" s="10" t="s">
        <v>461</v>
      </c>
      <c r="D46" s="3"/>
      <c r="E46" s="3">
        <v>2</v>
      </c>
      <c r="F46" s="3">
        <f t="shared" ref="F46:F51" si="6">F45-E46</f>
        <v>194</v>
      </c>
      <c r="G46" s="3" t="s">
        <v>462</v>
      </c>
      <c r="H46" s="5" t="s">
        <v>55</v>
      </c>
    </row>
    <row r="47" spans="1:9" ht="21" x14ac:dyDescent="0.7">
      <c r="A47" s="2">
        <v>46</v>
      </c>
      <c r="B47" s="8" t="s">
        <v>20</v>
      </c>
      <c r="C47" s="10" t="s">
        <v>469</v>
      </c>
      <c r="D47" s="3"/>
      <c r="E47" s="3">
        <v>1</v>
      </c>
      <c r="F47" s="3">
        <f t="shared" si="6"/>
        <v>193</v>
      </c>
      <c r="G47" s="3">
        <v>4157</v>
      </c>
      <c r="H47" s="5" t="s">
        <v>471</v>
      </c>
    </row>
    <row r="48" spans="1:9" ht="21" x14ac:dyDescent="0.7">
      <c r="A48" s="2">
        <v>47</v>
      </c>
      <c r="B48" s="8" t="s">
        <v>20</v>
      </c>
      <c r="C48" s="10" t="s">
        <v>473</v>
      </c>
      <c r="D48" s="3"/>
      <c r="E48" s="3">
        <v>1</v>
      </c>
      <c r="F48" s="3">
        <f t="shared" si="6"/>
        <v>192</v>
      </c>
      <c r="G48" s="3">
        <v>4158</v>
      </c>
      <c r="H48" s="5" t="s">
        <v>433</v>
      </c>
    </row>
    <row r="49" spans="1:8" ht="21" x14ac:dyDescent="0.7">
      <c r="A49" s="2">
        <v>48</v>
      </c>
      <c r="B49" s="8" t="s">
        <v>20</v>
      </c>
      <c r="C49" s="10" t="s">
        <v>474</v>
      </c>
      <c r="D49" s="3"/>
      <c r="E49" s="3">
        <v>1</v>
      </c>
      <c r="F49" s="3">
        <f t="shared" si="6"/>
        <v>191</v>
      </c>
      <c r="G49" s="3" t="s">
        <v>476</v>
      </c>
      <c r="H49" s="5" t="s">
        <v>204</v>
      </c>
    </row>
    <row r="50" spans="1:8" ht="21" x14ac:dyDescent="0.7">
      <c r="A50" s="2">
        <v>49</v>
      </c>
      <c r="B50" s="8" t="s">
        <v>20</v>
      </c>
      <c r="C50" s="10" t="s">
        <v>477</v>
      </c>
      <c r="D50" s="3"/>
      <c r="E50" s="3">
        <v>2</v>
      </c>
      <c r="F50" s="3">
        <f t="shared" si="6"/>
        <v>189</v>
      </c>
      <c r="G50" s="3" t="s">
        <v>478</v>
      </c>
      <c r="H50" s="5" t="s">
        <v>55</v>
      </c>
    </row>
    <row r="51" spans="1:8" ht="21" x14ac:dyDescent="0.7">
      <c r="A51" s="2">
        <v>50</v>
      </c>
      <c r="B51" s="8" t="s">
        <v>20</v>
      </c>
      <c r="C51" s="10" t="s">
        <v>481</v>
      </c>
      <c r="D51" s="3"/>
      <c r="E51" s="3">
        <v>2</v>
      </c>
      <c r="F51" s="3">
        <f t="shared" si="6"/>
        <v>187</v>
      </c>
      <c r="G51" s="3" t="s">
        <v>482</v>
      </c>
      <c r="H51" s="5" t="s">
        <v>55</v>
      </c>
    </row>
    <row r="52" spans="1:8" ht="21" x14ac:dyDescent="0.7">
      <c r="A52" s="2">
        <v>51</v>
      </c>
      <c r="B52" s="8" t="s">
        <v>20</v>
      </c>
      <c r="C52" s="10" t="s">
        <v>489</v>
      </c>
      <c r="D52" s="3"/>
      <c r="E52" s="3">
        <v>3</v>
      </c>
      <c r="F52" s="3">
        <f t="shared" ref="F52:F57" si="7">F51-E52</f>
        <v>184</v>
      </c>
      <c r="G52" s="3" t="s">
        <v>490</v>
      </c>
      <c r="H52" s="5" t="s">
        <v>55</v>
      </c>
    </row>
    <row r="53" spans="1:8" ht="21" x14ac:dyDescent="0.7">
      <c r="A53" s="2">
        <v>52</v>
      </c>
      <c r="B53" s="8" t="s">
        <v>20</v>
      </c>
      <c r="C53" s="10" t="s">
        <v>506</v>
      </c>
      <c r="D53" s="3"/>
      <c r="E53" s="3">
        <v>15</v>
      </c>
      <c r="F53" s="3">
        <f t="shared" si="7"/>
        <v>169</v>
      </c>
      <c r="G53" s="3">
        <v>4216</v>
      </c>
      <c r="H53" s="5" t="s">
        <v>513</v>
      </c>
    </row>
    <row r="54" spans="1:8" ht="21" x14ac:dyDescent="0.7">
      <c r="A54" s="2">
        <v>53</v>
      </c>
      <c r="B54" s="8" t="s">
        <v>20</v>
      </c>
      <c r="C54" s="10" t="s">
        <v>511</v>
      </c>
      <c r="D54" s="3"/>
      <c r="E54" s="3">
        <v>1</v>
      </c>
      <c r="F54" s="3">
        <f t="shared" si="7"/>
        <v>168</v>
      </c>
      <c r="G54" s="3">
        <v>4218</v>
      </c>
      <c r="H54" s="5" t="s">
        <v>350</v>
      </c>
    </row>
    <row r="55" spans="1:8" ht="21" x14ac:dyDescent="0.7">
      <c r="A55" s="2">
        <v>54</v>
      </c>
      <c r="B55" s="8" t="s">
        <v>20</v>
      </c>
      <c r="C55" s="10" t="s">
        <v>519</v>
      </c>
      <c r="D55" s="3"/>
      <c r="E55" s="3">
        <v>1</v>
      </c>
      <c r="F55" s="3">
        <f t="shared" si="7"/>
        <v>167</v>
      </c>
      <c r="G55" s="3" t="s">
        <v>522</v>
      </c>
      <c r="H55" s="5" t="s">
        <v>523</v>
      </c>
    </row>
    <row r="56" spans="1:8" ht="21" x14ac:dyDescent="0.7">
      <c r="A56" s="2">
        <v>55</v>
      </c>
      <c r="B56" s="8" t="s">
        <v>20</v>
      </c>
      <c r="C56" s="10" t="s">
        <v>524</v>
      </c>
      <c r="D56" s="3"/>
      <c r="E56" s="3">
        <v>2</v>
      </c>
      <c r="F56" s="3">
        <f t="shared" si="7"/>
        <v>165</v>
      </c>
      <c r="G56" s="3" t="s">
        <v>525</v>
      </c>
      <c r="H56" s="5" t="s">
        <v>526</v>
      </c>
    </row>
    <row r="57" spans="1:8" ht="21" x14ac:dyDescent="0.7">
      <c r="A57" s="2">
        <v>56</v>
      </c>
      <c r="B57" s="8" t="s">
        <v>20</v>
      </c>
      <c r="C57" s="10" t="s">
        <v>540</v>
      </c>
      <c r="D57" s="3"/>
      <c r="E57" s="3">
        <v>1</v>
      </c>
      <c r="F57" s="3">
        <f t="shared" si="7"/>
        <v>164</v>
      </c>
      <c r="G57" s="3">
        <v>4246</v>
      </c>
      <c r="H57" s="5" t="s">
        <v>541</v>
      </c>
    </row>
    <row r="58" spans="1:8" ht="21" x14ac:dyDescent="0.7">
      <c r="A58" s="2">
        <v>57</v>
      </c>
      <c r="B58" s="8" t="s">
        <v>20</v>
      </c>
      <c r="C58" s="10" t="s">
        <v>543</v>
      </c>
      <c r="D58" s="3"/>
      <c r="E58" s="3">
        <v>2</v>
      </c>
      <c r="F58" s="3">
        <f t="shared" ref="F58:F63" si="8">F57-E58</f>
        <v>162</v>
      </c>
      <c r="G58" s="3">
        <v>4262</v>
      </c>
      <c r="H58" s="5" t="s">
        <v>544</v>
      </c>
    </row>
    <row r="59" spans="1:8" ht="21" x14ac:dyDescent="0.7">
      <c r="A59" s="2">
        <v>58</v>
      </c>
      <c r="B59" s="8" t="s">
        <v>20</v>
      </c>
      <c r="C59" s="10" t="s">
        <v>550</v>
      </c>
      <c r="D59" s="3"/>
      <c r="E59" s="3">
        <v>3</v>
      </c>
      <c r="F59" s="3">
        <f t="shared" si="8"/>
        <v>159</v>
      </c>
      <c r="G59" s="3" t="s">
        <v>551</v>
      </c>
      <c r="H59" s="5" t="s">
        <v>55</v>
      </c>
    </row>
    <row r="60" spans="1:8" ht="21" x14ac:dyDescent="0.7">
      <c r="A60" s="2">
        <v>59</v>
      </c>
      <c r="B60" s="8" t="s">
        <v>20</v>
      </c>
      <c r="C60" s="10" t="s">
        <v>554</v>
      </c>
      <c r="D60" s="3"/>
      <c r="E60" s="3">
        <v>2</v>
      </c>
      <c r="F60" s="3">
        <f t="shared" si="8"/>
        <v>157</v>
      </c>
      <c r="G60" s="3">
        <v>4268</v>
      </c>
      <c r="H60" s="5" t="s">
        <v>555</v>
      </c>
    </row>
    <row r="61" spans="1:8" ht="21" x14ac:dyDescent="0.7">
      <c r="A61" s="2">
        <v>60</v>
      </c>
      <c r="B61" s="8" t="s">
        <v>20</v>
      </c>
      <c r="C61" s="10" t="s">
        <v>560</v>
      </c>
      <c r="D61" s="3"/>
      <c r="E61" s="3">
        <v>2</v>
      </c>
      <c r="F61" s="3">
        <f t="shared" si="8"/>
        <v>155</v>
      </c>
      <c r="G61" s="3" t="s">
        <v>561</v>
      </c>
      <c r="H61" s="5" t="s">
        <v>91</v>
      </c>
    </row>
    <row r="62" spans="1:8" ht="21" x14ac:dyDescent="0.7">
      <c r="A62" s="2">
        <v>61</v>
      </c>
      <c r="B62" s="8" t="s">
        <v>20</v>
      </c>
      <c r="C62" s="10" t="s">
        <v>576</v>
      </c>
      <c r="D62" s="3"/>
      <c r="E62" s="3">
        <v>2</v>
      </c>
      <c r="F62" s="3">
        <f t="shared" si="8"/>
        <v>153</v>
      </c>
      <c r="G62" s="3" t="s">
        <v>577</v>
      </c>
      <c r="H62" s="5" t="s">
        <v>579</v>
      </c>
    </row>
    <row r="63" spans="1:8" ht="21" x14ac:dyDescent="0.7">
      <c r="A63" s="2">
        <v>62</v>
      </c>
      <c r="B63" s="8" t="s">
        <v>20</v>
      </c>
      <c r="C63" s="10" t="s">
        <v>582</v>
      </c>
      <c r="D63" s="3"/>
      <c r="E63" s="3">
        <v>6</v>
      </c>
      <c r="F63" s="3">
        <f t="shared" si="8"/>
        <v>147</v>
      </c>
      <c r="G63" s="3">
        <v>4298</v>
      </c>
      <c r="H63" s="5" t="s">
        <v>545</v>
      </c>
    </row>
    <row r="64" spans="1:8" ht="21" x14ac:dyDescent="0.7">
      <c r="A64" s="2">
        <v>63</v>
      </c>
      <c r="B64" s="8" t="s">
        <v>20</v>
      </c>
      <c r="C64" s="10" t="s">
        <v>585</v>
      </c>
      <c r="D64" s="3"/>
      <c r="E64" s="3">
        <v>3</v>
      </c>
      <c r="F64" s="3">
        <f t="shared" ref="F64:F69" si="9">F63-E64</f>
        <v>144</v>
      </c>
      <c r="G64" s="3" t="s">
        <v>586</v>
      </c>
      <c r="H64" s="5" t="s">
        <v>579</v>
      </c>
    </row>
    <row r="65" spans="1:8" ht="21" x14ac:dyDescent="0.7">
      <c r="A65" s="2">
        <v>64</v>
      </c>
      <c r="B65" s="8" t="s">
        <v>20</v>
      </c>
      <c r="C65" s="10" t="s">
        <v>591</v>
      </c>
      <c r="D65" s="3"/>
      <c r="E65" s="3">
        <v>2</v>
      </c>
      <c r="F65" s="3">
        <f t="shared" si="9"/>
        <v>142</v>
      </c>
      <c r="G65" s="3" t="s">
        <v>592</v>
      </c>
      <c r="H65" s="5" t="s">
        <v>55</v>
      </c>
    </row>
    <row r="66" spans="1:8" ht="21" x14ac:dyDescent="0.7">
      <c r="A66" s="2">
        <v>65</v>
      </c>
      <c r="B66" s="8" t="s">
        <v>20</v>
      </c>
      <c r="C66" s="10" t="s">
        <v>596</v>
      </c>
      <c r="D66" s="3"/>
      <c r="E66" s="3">
        <v>3</v>
      </c>
      <c r="F66" s="3">
        <f t="shared" si="9"/>
        <v>139</v>
      </c>
      <c r="G66" s="3" t="s">
        <v>597</v>
      </c>
      <c r="H66" s="5" t="s">
        <v>55</v>
      </c>
    </row>
    <row r="67" spans="1:8" ht="21" x14ac:dyDescent="0.7">
      <c r="A67" s="2">
        <v>66</v>
      </c>
      <c r="B67" s="8" t="s">
        <v>20</v>
      </c>
      <c r="C67" s="10" t="s">
        <v>596</v>
      </c>
      <c r="D67" s="3"/>
      <c r="E67" s="3">
        <v>5</v>
      </c>
      <c r="F67" s="3">
        <f t="shared" si="9"/>
        <v>134</v>
      </c>
      <c r="G67" s="3" t="s">
        <v>600</v>
      </c>
      <c r="H67" s="5" t="s">
        <v>91</v>
      </c>
    </row>
    <row r="68" spans="1:8" ht="21" x14ac:dyDescent="0.7">
      <c r="A68" s="2">
        <v>67</v>
      </c>
      <c r="B68" s="8" t="s">
        <v>20</v>
      </c>
      <c r="C68" s="10" t="s">
        <v>604</v>
      </c>
      <c r="D68" s="3"/>
      <c r="E68" s="3">
        <v>5</v>
      </c>
      <c r="F68" s="3">
        <f t="shared" si="9"/>
        <v>129</v>
      </c>
      <c r="G68" s="3">
        <v>4325</v>
      </c>
      <c r="H68" s="5" t="s">
        <v>61</v>
      </c>
    </row>
    <row r="69" spans="1:8" ht="21" x14ac:dyDescent="0.7">
      <c r="A69" s="2">
        <v>68</v>
      </c>
      <c r="B69" s="8" t="s">
        <v>20</v>
      </c>
      <c r="C69" s="10" t="s">
        <v>613</v>
      </c>
      <c r="D69" s="3"/>
      <c r="E69" s="3">
        <v>1</v>
      </c>
      <c r="F69" s="3">
        <f t="shared" si="9"/>
        <v>128</v>
      </c>
      <c r="G69" s="3">
        <v>4331</v>
      </c>
      <c r="H69" s="5" t="s">
        <v>614</v>
      </c>
    </row>
    <row r="70" spans="1:8" ht="21" x14ac:dyDescent="0.7">
      <c r="A70" s="2">
        <v>69</v>
      </c>
      <c r="B70" s="8" t="s">
        <v>20</v>
      </c>
      <c r="C70" s="10" t="s">
        <v>615</v>
      </c>
      <c r="D70" s="3"/>
      <c r="E70" s="3">
        <v>1</v>
      </c>
      <c r="F70" s="3">
        <f t="shared" ref="F70:F75" si="10">F69-E70</f>
        <v>127</v>
      </c>
      <c r="G70" s="3" t="s">
        <v>616</v>
      </c>
      <c r="H70" s="5" t="s">
        <v>55</v>
      </c>
    </row>
    <row r="71" spans="1:8" ht="21" x14ac:dyDescent="0.7">
      <c r="A71" s="2">
        <v>70</v>
      </c>
      <c r="B71" s="8" t="s">
        <v>20</v>
      </c>
      <c r="C71" s="10" t="s">
        <v>629</v>
      </c>
      <c r="D71" s="3"/>
      <c r="E71" s="3">
        <v>1</v>
      </c>
      <c r="F71" s="3">
        <f t="shared" si="10"/>
        <v>126</v>
      </c>
      <c r="G71" s="3" t="s">
        <v>630</v>
      </c>
      <c r="H71" s="5" t="s">
        <v>452</v>
      </c>
    </row>
    <row r="72" spans="1:8" ht="21" x14ac:dyDescent="0.7">
      <c r="A72" s="2">
        <v>71</v>
      </c>
      <c r="B72" s="8" t="s">
        <v>20</v>
      </c>
      <c r="C72" s="10" t="s">
        <v>637</v>
      </c>
      <c r="D72" s="3"/>
      <c r="E72" s="3">
        <v>4</v>
      </c>
      <c r="F72" s="3">
        <f t="shared" si="10"/>
        <v>122</v>
      </c>
      <c r="G72" s="3" t="s">
        <v>638</v>
      </c>
      <c r="H72" s="5" t="s">
        <v>55</v>
      </c>
    </row>
    <row r="73" spans="1:8" ht="21" x14ac:dyDescent="0.7">
      <c r="A73" s="2">
        <v>72</v>
      </c>
      <c r="B73" s="8" t="s">
        <v>20</v>
      </c>
      <c r="C73" s="10" t="s">
        <v>649</v>
      </c>
      <c r="D73" s="3"/>
      <c r="E73" s="3">
        <v>2</v>
      </c>
      <c r="F73" s="3">
        <f t="shared" si="10"/>
        <v>120</v>
      </c>
      <c r="G73" s="3" t="s">
        <v>650</v>
      </c>
      <c r="H73" s="5" t="s">
        <v>55</v>
      </c>
    </row>
    <row r="74" spans="1:8" ht="21" x14ac:dyDescent="0.7">
      <c r="A74" s="2">
        <v>73</v>
      </c>
      <c r="B74" s="8" t="s">
        <v>20</v>
      </c>
      <c r="C74" s="10" t="s">
        <v>679</v>
      </c>
      <c r="D74" s="3"/>
      <c r="E74" s="3">
        <v>2</v>
      </c>
      <c r="F74" s="3">
        <f t="shared" si="10"/>
        <v>118</v>
      </c>
      <c r="G74" s="3" t="s">
        <v>680</v>
      </c>
      <c r="H74" s="5" t="s">
        <v>55</v>
      </c>
    </row>
    <row r="75" spans="1:8" ht="21" x14ac:dyDescent="0.7">
      <c r="A75" s="2">
        <v>74</v>
      </c>
      <c r="B75" s="8" t="s">
        <v>20</v>
      </c>
      <c r="C75" s="10" t="s">
        <v>695</v>
      </c>
      <c r="D75" s="3"/>
      <c r="E75" s="3">
        <v>3</v>
      </c>
      <c r="F75" s="3">
        <f t="shared" si="10"/>
        <v>115</v>
      </c>
      <c r="G75" s="3" t="s">
        <v>694</v>
      </c>
      <c r="H75" s="5" t="s">
        <v>55</v>
      </c>
    </row>
    <row r="76" spans="1:8" ht="21" x14ac:dyDescent="0.7">
      <c r="A76" s="2">
        <v>75</v>
      </c>
      <c r="B76" s="8" t="s">
        <v>20</v>
      </c>
      <c r="C76" s="10" t="s">
        <v>696</v>
      </c>
      <c r="D76" s="3"/>
      <c r="E76" s="3">
        <v>1</v>
      </c>
      <c r="F76" s="3">
        <f t="shared" ref="F76:F81" si="11">F75-E76</f>
        <v>114</v>
      </c>
      <c r="G76" s="3" t="s">
        <v>697</v>
      </c>
      <c r="H76" s="5" t="s">
        <v>49</v>
      </c>
    </row>
    <row r="77" spans="1:8" ht="21" x14ac:dyDescent="0.7">
      <c r="A77" s="2">
        <v>76</v>
      </c>
      <c r="B77" s="8" t="s">
        <v>20</v>
      </c>
      <c r="C77" s="10" t="s">
        <v>698</v>
      </c>
      <c r="D77" s="3"/>
      <c r="E77" s="3">
        <v>4</v>
      </c>
      <c r="F77" s="3">
        <f t="shared" si="11"/>
        <v>110</v>
      </c>
      <c r="G77" s="3">
        <v>4451</v>
      </c>
      <c r="H77" s="5" t="s">
        <v>544</v>
      </c>
    </row>
    <row r="78" spans="1:8" ht="21" x14ac:dyDescent="0.7">
      <c r="A78" s="2">
        <v>77</v>
      </c>
      <c r="B78" s="8" t="s">
        <v>20</v>
      </c>
      <c r="C78" s="10" t="s">
        <v>707</v>
      </c>
      <c r="D78" s="3"/>
      <c r="E78" s="3">
        <v>4</v>
      </c>
      <c r="F78" s="3">
        <f t="shared" si="11"/>
        <v>106</v>
      </c>
      <c r="G78" s="3" t="s">
        <v>708</v>
      </c>
      <c r="H78" s="5" t="s">
        <v>55</v>
      </c>
    </row>
    <row r="79" spans="1:8" ht="21" x14ac:dyDescent="0.7">
      <c r="A79" s="2">
        <v>78</v>
      </c>
      <c r="B79" s="8" t="s">
        <v>20</v>
      </c>
      <c r="C79" s="10" t="s">
        <v>705</v>
      </c>
      <c r="D79" s="3"/>
      <c r="E79" s="3">
        <v>1</v>
      </c>
      <c r="F79" s="3">
        <f t="shared" si="11"/>
        <v>105</v>
      </c>
      <c r="G79" s="3">
        <v>4460</v>
      </c>
      <c r="H79" s="5" t="s">
        <v>379</v>
      </c>
    </row>
    <row r="80" spans="1:8" ht="21" x14ac:dyDescent="0.7">
      <c r="A80" s="2">
        <v>79</v>
      </c>
      <c r="B80" s="8" t="s">
        <v>20</v>
      </c>
      <c r="C80" s="10" t="s">
        <v>709</v>
      </c>
      <c r="D80" s="3"/>
      <c r="E80" s="3">
        <v>5</v>
      </c>
      <c r="F80" s="3">
        <f t="shared" si="11"/>
        <v>100</v>
      </c>
      <c r="G80" s="3">
        <v>4468</v>
      </c>
      <c r="H80" s="5" t="s">
        <v>710</v>
      </c>
    </row>
    <row r="81" spans="1:8" ht="21" x14ac:dyDescent="0.7">
      <c r="A81" s="2">
        <v>80</v>
      </c>
      <c r="B81" s="8" t="s">
        <v>20</v>
      </c>
      <c r="C81" s="10" t="s">
        <v>715</v>
      </c>
      <c r="D81" s="3"/>
      <c r="E81" s="3">
        <v>1</v>
      </c>
      <c r="F81" s="3">
        <f t="shared" si="11"/>
        <v>99</v>
      </c>
      <c r="G81" s="3">
        <v>4471</v>
      </c>
      <c r="H81" s="5" t="s">
        <v>379</v>
      </c>
    </row>
    <row r="82" spans="1:8" ht="21" x14ac:dyDescent="0.7">
      <c r="A82" s="2">
        <v>81</v>
      </c>
      <c r="B82" s="8" t="s">
        <v>20</v>
      </c>
      <c r="C82" s="10" t="s">
        <v>732</v>
      </c>
      <c r="D82" s="3"/>
      <c r="E82" s="3">
        <v>2</v>
      </c>
      <c r="F82" s="3">
        <f t="shared" ref="F82:F87" si="12">F81-E82</f>
        <v>97</v>
      </c>
      <c r="G82" s="3">
        <v>4485</v>
      </c>
      <c r="H82" s="5" t="s">
        <v>61</v>
      </c>
    </row>
    <row r="83" spans="1:8" ht="21" x14ac:dyDescent="0.7">
      <c r="A83" s="2">
        <v>82</v>
      </c>
      <c r="B83" s="8" t="s">
        <v>20</v>
      </c>
      <c r="C83" s="10" t="s">
        <v>755</v>
      </c>
      <c r="D83" s="3"/>
      <c r="E83" s="3">
        <v>6</v>
      </c>
      <c r="F83" s="3">
        <f t="shared" si="12"/>
        <v>91</v>
      </c>
      <c r="G83" s="3">
        <v>4535</v>
      </c>
      <c r="H83" s="5" t="s">
        <v>61</v>
      </c>
    </row>
    <row r="84" spans="1:8" ht="21" x14ac:dyDescent="0.7">
      <c r="A84" s="2">
        <v>83</v>
      </c>
      <c r="B84" s="8" t="s">
        <v>20</v>
      </c>
      <c r="C84" s="10" t="s">
        <v>782</v>
      </c>
      <c r="D84" s="3"/>
      <c r="E84" s="3">
        <v>4</v>
      </c>
      <c r="F84" s="3">
        <f t="shared" si="12"/>
        <v>87</v>
      </c>
      <c r="G84" s="3" t="s">
        <v>783</v>
      </c>
      <c r="H84" s="5" t="s">
        <v>55</v>
      </c>
    </row>
    <row r="85" spans="1:8" ht="21" x14ac:dyDescent="0.7">
      <c r="A85" s="2">
        <v>84</v>
      </c>
      <c r="B85" s="8" t="s">
        <v>20</v>
      </c>
      <c r="C85" s="10" t="s">
        <v>784</v>
      </c>
      <c r="D85" s="3"/>
      <c r="E85" s="3">
        <v>3</v>
      </c>
      <c r="F85" s="3">
        <f t="shared" si="12"/>
        <v>84</v>
      </c>
      <c r="G85" s="3" t="s">
        <v>787</v>
      </c>
      <c r="H85" s="5" t="s">
        <v>55</v>
      </c>
    </row>
    <row r="86" spans="1:8" ht="21" x14ac:dyDescent="0.7">
      <c r="A86" s="2">
        <v>85</v>
      </c>
      <c r="B86" s="8" t="s">
        <v>20</v>
      </c>
      <c r="C86" s="10" t="s">
        <v>805</v>
      </c>
      <c r="D86" s="3"/>
      <c r="E86" s="3">
        <v>1</v>
      </c>
      <c r="F86" s="3">
        <f t="shared" si="12"/>
        <v>83</v>
      </c>
      <c r="G86" s="3">
        <v>4617</v>
      </c>
      <c r="H86" s="5" t="s">
        <v>811</v>
      </c>
    </row>
    <row r="87" spans="1:8" ht="21" x14ac:dyDescent="0.7">
      <c r="A87" s="2">
        <v>86</v>
      </c>
      <c r="B87" s="8" t="s">
        <v>20</v>
      </c>
      <c r="C87" s="10" t="s">
        <v>858</v>
      </c>
      <c r="D87" s="3"/>
      <c r="E87" s="3">
        <v>1</v>
      </c>
      <c r="F87" s="3">
        <f t="shared" si="12"/>
        <v>82</v>
      </c>
      <c r="G87" s="3">
        <v>4678</v>
      </c>
      <c r="H87" s="5" t="s">
        <v>859</v>
      </c>
    </row>
    <row r="88" spans="1:8" ht="21" x14ac:dyDescent="0.7">
      <c r="A88" s="2">
        <v>87</v>
      </c>
      <c r="B88" s="8" t="s">
        <v>20</v>
      </c>
      <c r="C88" s="10" t="s">
        <v>864</v>
      </c>
      <c r="D88" s="3"/>
      <c r="E88" s="3">
        <v>1</v>
      </c>
      <c r="F88" s="3">
        <f t="shared" ref="F88:F93" si="13">F87-E88</f>
        <v>81</v>
      </c>
      <c r="G88" s="3">
        <v>4683</v>
      </c>
      <c r="H88" s="5" t="s">
        <v>780</v>
      </c>
    </row>
    <row r="89" spans="1:8" ht="21" x14ac:dyDescent="0.7">
      <c r="A89" s="2">
        <v>88</v>
      </c>
      <c r="B89" s="8" t="s">
        <v>20</v>
      </c>
      <c r="C89" s="10" t="s">
        <v>867</v>
      </c>
      <c r="D89" s="3"/>
      <c r="E89" s="3">
        <v>2</v>
      </c>
      <c r="F89" s="3">
        <f t="shared" si="13"/>
        <v>79</v>
      </c>
      <c r="G89" s="3" t="s">
        <v>868</v>
      </c>
      <c r="H89" s="5" t="s">
        <v>55</v>
      </c>
    </row>
    <row r="90" spans="1:8" ht="21" x14ac:dyDescent="0.7">
      <c r="A90" s="2">
        <v>89</v>
      </c>
      <c r="B90" s="8" t="s">
        <v>20</v>
      </c>
      <c r="C90" s="10" t="s">
        <v>884</v>
      </c>
      <c r="D90" s="3"/>
      <c r="E90" s="3">
        <v>5</v>
      </c>
      <c r="F90" s="3">
        <f t="shared" si="13"/>
        <v>74</v>
      </c>
      <c r="G90" s="3" t="s">
        <v>885</v>
      </c>
      <c r="H90" s="5" t="s">
        <v>49</v>
      </c>
    </row>
    <row r="91" spans="1:8" ht="21" x14ac:dyDescent="0.7">
      <c r="A91" s="2">
        <v>90</v>
      </c>
      <c r="B91" s="8" t="s">
        <v>20</v>
      </c>
      <c r="C91" s="10" t="s">
        <v>887</v>
      </c>
      <c r="D91" s="3"/>
      <c r="E91" s="3">
        <v>1</v>
      </c>
      <c r="F91" s="3">
        <f t="shared" si="13"/>
        <v>73</v>
      </c>
      <c r="G91" s="3">
        <v>4721</v>
      </c>
      <c r="H91" s="5" t="s">
        <v>888</v>
      </c>
    </row>
    <row r="92" spans="1:8" ht="21" x14ac:dyDescent="0.7">
      <c r="A92" s="2">
        <v>91</v>
      </c>
      <c r="B92" s="8" t="s">
        <v>20</v>
      </c>
      <c r="C92" s="10" t="s">
        <v>884</v>
      </c>
      <c r="D92" s="3"/>
      <c r="E92" s="3">
        <v>3</v>
      </c>
      <c r="F92" s="3">
        <f t="shared" si="13"/>
        <v>70</v>
      </c>
      <c r="G92" s="3" t="s">
        <v>891</v>
      </c>
      <c r="H92" s="5" t="s">
        <v>55</v>
      </c>
    </row>
    <row r="93" spans="1:8" ht="21" x14ac:dyDescent="0.7">
      <c r="A93" s="2">
        <v>92</v>
      </c>
      <c r="B93" s="8" t="s">
        <v>20</v>
      </c>
      <c r="C93" s="10" t="s">
        <v>892</v>
      </c>
      <c r="D93" s="3"/>
      <c r="E93" s="3">
        <v>3</v>
      </c>
      <c r="F93" s="3">
        <f t="shared" si="13"/>
        <v>67</v>
      </c>
      <c r="G93" s="3" t="s">
        <v>895</v>
      </c>
      <c r="H93" s="5" t="s">
        <v>55</v>
      </c>
    </row>
    <row r="94" spans="1:8" ht="21" x14ac:dyDescent="0.7">
      <c r="A94" s="2">
        <v>93</v>
      </c>
      <c r="B94" s="8" t="s">
        <v>20</v>
      </c>
      <c r="C94" s="10" t="s">
        <v>898</v>
      </c>
      <c r="D94" s="3"/>
      <c r="E94" s="3">
        <v>3</v>
      </c>
      <c r="F94" s="3">
        <f t="shared" ref="F94:F99" si="14">F93-E94</f>
        <v>64</v>
      </c>
      <c r="G94" s="3">
        <v>4723</v>
      </c>
      <c r="H94" s="5" t="s">
        <v>545</v>
      </c>
    </row>
    <row r="95" spans="1:8" ht="21" x14ac:dyDescent="0.7">
      <c r="A95" s="2">
        <v>94</v>
      </c>
      <c r="B95" s="8" t="s">
        <v>20</v>
      </c>
      <c r="C95" s="10" t="s">
        <v>908</v>
      </c>
      <c r="D95" s="3"/>
      <c r="E95" s="3">
        <v>2</v>
      </c>
      <c r="F95" s="3">
        <f t="shared" si="14"/>
        <v>62</v>
      </c>
      <c r="G95" s="3" t="s">
        <v>909</v>
      </c>
      <c r="H95" s="5" t="s">
        <v>55</v>
      </c>
    </row>
    <row r="96" spans="1:8" ht="21" x14ac:dyDescent="0.7">
      <c r="A96" s="2">
        <v>95</v>
      </c>
      <c r="B96" s="8" t="s">
        <v>20</v>
      </c>
      <c r="C96" s="10" t="s">
        <v>911</v>
      </c>
      <c r="D96" s="3"/>
      <c r="E96" s="3">
        <v>1</v>
      </c>
      <c r="F96" s="3">
        <f t="shared" si="14"/>
        <v>61</v>
      </c>
      <c r="G96" s="3">
        <v>4734</v>
      </c>
      <c r="H96" s="5" t="s">
        <v>614</v>
      </c>
    </row>
    <row r="97" spans="1:8" ht="21" x14ac:dyDescent="0.7">
      <c r="A97" s="2">
        <v>96</v>
      </c>
      <c r="B97" s="8" t="s">
        <v>20</v>
      </c>
      <c r="C97" s="10" t="s">
        <v>912</v>
      </c>
      <c r="D97" s="3"/>
      <c r="E97" s="3">
        <v>12</v>
      </c>
      <c r="F97" s="3">
        <f t="shared" si="14"/>
        <v>49</v>
      </c>
      <c r="G97" s="3">
        <v>4735</v>
      </c>
      <c r="H97" s="5" t="s">
        <v>61</v>
      </c>
    </row>
    <row r="98" spans="1:8" ht="21" x14ac:dyDescent="0.7">
      <c r="A98" s="2">
        <v>97</v>
      </c>
      <c r="B98" s="8" t="s">
        <v>20</v>
      </c>
      <c r="C98" s="10" t="s">
        <v>913</v>
      </c>
      <c r="D98" s="3"/>
      <c r="E98" s="3">
        <v>2</v>
      </c>
      <c r="F98" s="3">
        <f t="shared" si="14"/>
        <v>47</v>
      </c>
      <c r="G98" s="3">
        <v>4736</v>
      </c>
      <c r="H98" s="5" t="s">
        <v>614</v>
      </c>
    </row>
    <row r="99" spans="1:8" ht="21" x14ac:dyDescent="0.7">
      <c r="A99" s="2">
        <v>98</v>
      </c>
      <c r="B99" s="8" t="s">
        <v>20</v>
      </c>
      <c r="C99" s="10" t="s">
        <v>915</v>
      </c>
      <c r="D99" s="3"/>
      <c r="E99" s="3">
        <v>3</v>
      </c>
      <c r="F99" s="3">
        <f t="shared" si="14"/>
        <v>44</v>
      </c>
      <c r="G99" s="3">
        <v>4738</v>
      </c>
      <c r="H99" s="5" t="s">
        <v>916</v>
      </c>
    </row>
    <row r="100" spans="1:8" ht="21" x14ac:dyDescent="0.7">
      <c r="A100" s="2">
        <v>99</v>
      </c>
      <c r="B100" s="8" t="s">
        <v>20</v>
      </c>
      <c r="C100" s="10" t="s">
        <v>924</v>
      </c>
      <c r="D100" s="3"/>
      <c r="E100" s="3">
        <v>1</v>
      </c>
      <c r="F100" s="3">
        <f t="shared" ref="F100:F105" si="15">F99-E100</f>
        <v>43</v>
      </c>
      <c r="G100" s="3" t="s">
        <v>926</v>
      </c>
      <c r="H100" s="5" t="s">
        <v>925</v>
      </c>
    </row>
    <row r="101" spans="1:8" ht="21" x14ac:dyDescent="0.7">
      <c r="A101" s="2">
        <v>100</v>
      </c>
      <c r="B101" s="8" t="s">
        <v>20</v>
      </c>
      <c r="C101" s="10" t="s">
        <v>927</v>
      </c>
      <c r="D101" s="3"/>
      <c r="E101" s="3">
        <v>4</v>
      </c>
      <c r="F101" s="3">
        <f t="shared" si="15"/>
        <v>39</v>
      </c>
      <c r="G101" s="3" t="s">
        <v>928</v>
      </c>
      <c r="H101" s="5" t="s">
        <v>55</v>
      </c>
    </row>
    <row r="102" spans="1:8" ht="21" x14ac:dyDescent="0.7">
      <c r="A102" s="2">
        <v>101</v>
      </c>
      <c r="B102" s="8" t="s">
        <v>20</v>
      </c>
      <c r="C102" s="10" t="s">
        <v>931</v>
      </c>
      <c r="D102" s="3"/>
      <c r="E102" s="3">
        <v>5</v>
      </c>
      <c r="F102" s="3">
        <f t="shared" si="15"/>
        <v>34</v>
      </c>
      <c r="G102" s="3">
        <v>4751</v>
      </c>
      <c r="H102" s="5" t="s">
        <v>932</v>
      </c>
    </row>
    <row r="103" spans="1:8" ht="21" x14ac:dyDescent="0.7">
      <c r="A103" s="2">
        <v>102</v>
      </c>
      <c r="B103" s="8" t="s">
        <v>20</v>
      </c>
      <c r="C103" s="10" t="s">
        <v>945</v>
      </c>
      <c r="D103" s="3"/>
      <c r="E103" s="3">
        <v>4</v>
      </c>
      <c r="F103" s="3">
        <f t="shared" si="15"/>
        <v>30</v>
      </c>
      <c r="G103" s="3" t="s">
        <v>946</v>
      </c>
      <c r="H103" s="5" t="s">
        <v>55</v>
      </c>
    </row>
    <row r="104" spans="1:8" ht="21" x14ac:dyDescent="0.7">
      <c r="A104" s="2">
        <v>103</v>
      </c>
      <c r="B104" s="8" t="s">
        <v>20</v>
      </c>
      <c r="C104" s="10" t="s">
        <v>945</v>
      </c>
      <c r="D104" s="3"/>
      <c r="E104" s="3">
        <v>1</v>
      </c>
      <c r="F104" s="3">
        <f t="shared" si="15"/>
        <v>29</v>
      </c>
      <c r="G104" s="3">
        <v>4766</v>
      </c>
      <c r="H104" s="5" t="s">
        <v>614</v>
      </c>
    </row>
    <row r="105" spans="1:8" ht="21" x14ac:dyDescent="0.7">
      <c r="A105" s="2">
        <v>104</v>
      </c>
      <c r="B105" s="8" t="s">
        <v>20</v>
      </c>
      <c r="C105" s="10" t="s">
        <v>989</v>
      </c>
      <c r="D105" s="3"/>
      <c r="E105" s="3">
        <v>3</v>
      </c>
      <c r="F105" s="3">
        <f t="shared" si="15"/>
        <v>26</v>
      </c>
      <c r="G105" s="3">
        <v>4855</v>
      </c>
      <c r="H105" s="5" t="s">
        <v>849</v>
      </c>
    </row>
    <row r="106" spans="1:8" ht="21" x14ac:dyDescent="0.7">
      <c r="A106" s="2">
        <v>105</v>
      </c>
      <c r="B106" s="8" t="s">
        <v>20</v>
      </c>
      <c r="C106" s="10" t="s">
        <v>991</v>
      </c>
      <c r="D106" s="3"/>
      <c r="E106" s="3">
        <v>1</v>
      </c>
      <c r="F106" s="3">
        <f>F105-E106</f>
        <v>25</v>
      </c>
      <c r="G106" s="3">
        <v>4869</v>
      </c>
      <c r="H106" s="5" t="s">
        <v>992</v>
      </c>
    </row>
    <row r="107" spans="1:8" ht="21" x14ac:dyDescent="0.7">
      <c r="A107" s="2">
        <v>106</v>
      </c>
      <c r="B107" s="8" t="s">
        <v>20</v>
      </c>
      <c r="C107" s="10" t="s">
        <v>995</v>
      </c>
      <c r="D107" s="3"/>
      <c r="E107" s="3">
        <v>1</v>
      </c>
      <c r="F107" s="3">
        <f>F106-E107</f>
        <v>24</v>
      </c>
      <c r="G107" s="3">
        <v>4872</v>
      </c>
      <c r="H107" s="5" t="s">
        <v>791</v>
      </c>
    </row>
    <row r="108" spans="1:8" ht="20.25" customHeight="1" x14ac:dyDescent="0.3">
      <c r="A108" s="2">
        <v>107</v>
      </c>
      <c r="B108" s="8" t="s">
        <v>20</v>
      </c>
      <c r="C108" s="10" t="s">
        <v>999</v>
      </c>
      <c r="D108" s="3">
        <v>120</v>
      </c>
      <c r="E108" s="3"/>
      <c r="F108" s="3">
        <f>F107+D108</f>
        <v>144</v>
      </c>
      <c r="G108" s="44" t="s">
        <v>1004</v>
      </c>
      <c r="H108" s="47"/>
    </row>
    <row r="109" spans="1:8" ht="21" x14ac:dyDescent="0.7">
      <c r="A109" s="2">
        <v>108</v>
      </c>
      <c r="B109" s="8" t="s">
        <v>20</v>
      </c>
      <c r="C109" s="10" t="s">
        <v>1012</v>
      </c>
      <c r="D109" s="3"/>
      <c r="E109" s="3">
        <v>1</v>
      </c>
      <c r="F109" s="3">
        <f t="shared" ref="F109:F114" si="16">F108-E109</f>
        <v>143</v>
      </c>
      <c r="G109" s="3" t="s">
        <v>1014</v>
      </c>
      <c r="H109" s="5" t="s">
        <v>49</v>
      </c>
    </row>
    <row r="110" spans="1:8" ht="21" x14ac:dyDescent="0.7">
      <c r="A110" s="2">
        <v>109</v>
      </c>
      <c r="B110" s="8" t="s">
        <v>20</v>
      </c>
      <c r="C110" s="10" t="s">
        <v>1033</v>
      </c>
      <c r="D110" s="3"/>
      <c r="E110" s="3">
        <v>2</v>
      </c>
      <c r="F110" s="3">
        <f t="shared" si="16"/>
        <v>141</v>
      </c>
      <c r="G110" s="3" t="s">
        <v>1034</v>
      </c>
      <c r="H110" s="5" t="s">
        <v>55</v>
      </c>
    </row>
    <row r="111" spans="1:8" ht="21" x14ac:dyDescent="0.7">
      <c r="A111" s="2">
        <v>110</v>
      </c>
      <c r="B111" s="8" t="s">
        <v>20</v>
      </c>
      <c r="C111" s="10" t="s">
        <v>1055</v>
      </c>
      <c r="D111" s="3"/>
      <c r="E111" s="3">
        <v>3</v>
      </c>
      <c r="F111" s="3">
        <f t="shared" si="16"/>
        <v>138</v>
      </c>
      <c r="G111" s="3" t="s">
        <v>1057</v>
      </c>
      <c r="H111" s="5" t="s">
        <v>55</v>
      </c>
    </row>
    <row r="112" spans="1:8" ht="21" x14ac:dyDescent="0.7">
      <c r="A112" s="2">
        <v>111</v>
      </c>
      <c r="B112" s="8" t="s">
        <v>20</v>
      </c>
      <c r="C112" s="10" t="s">
        <v>1076</v>
      </c>
      <c r="D112" s="3"/>
      <c r="E112" s="3">
        <v>2</v>
      </c>
      <c r="F112" s="3">
        <f t="shared" si="16"/>
        <v>136</v>
      </c>
      <c r="G112" s="3">
        <v>4982</v>
      </c>
      <c r="H112" s="5" t="s">
        <v>465</v>
      </c>
    </row>
    <row r="113" spans="1:8" ht="21" x14ac:dyDescent="0.7">
      <c r="A113" s="2">
        <v>112</v>
      </c>
      <c r="B113" s="8" t="s">
        <v>20</v>
      </c>
      <c r="C113" s="10" t="s">
        <v>1084</v>
      </c>
      <c r="D113" s="3"/>
      <c r="E113" s="3">
        <v>1</v>
      </c>
      <c r="F113" s="3">
        <f t="shared" si="16"/>
        <v>135</v>
      </c>
      <c r="G113" s="3">
        <v>5014</v>
      </c>
      <c r="H113" s="5" t="s">
        <v>780</v>
      </c>
    </row>
    <row r="114" spans="1:8" ht="21" x14ac:dyDescent="0.7">
      <c r="A114" s="2">
        <v>113</v>
      </c>
      <c r="B114" s="8" t="s">
        <v>20</v>
      </c>
      <c r="C114" s="10" t="s">
        <v>1086</v>
      </c>
      <c r="D114" s="3"/>
      <c r="E114" s="3">
        <v>10</v>
      </c>
      <c r="F114" s="3">
        <f t="shared" si="16"/>
        <v>125</v>
      </c>
      <c r="G114" s="3">
        <v>5020</v>
      </c>
      <c r="H114" s="5" t="s">
        <v>1087</v>
      </c>
    </row>
    <row r="115" spans="1:8" ht="21" x14ac:dyDescent="0.7">
      <c r="A115" s="2">
        <v>114</v>
      </c>
      <c r="B115" s="8" t="s">
        <v>20</v>
      </c>
      <c r="C115" s="10" t="s">
        <v>1100</v>
      </c>
      <c r="D115" s="3"/>
      <c r="E115" s="3">
        <v>1</v>
      </c>
      <c r="F115" s="3">
        <f t="shared" ref="F115:F120" si="17">F114-E115</f>
        <v>124</v>
      </c>
      <c r="G115" s="3" t="s">
        <v>1101</v>
      </c>
      <c r="H115" s="5" t="s">
        <v>55</v>
      </c>
    </row>
    <row r="116" spans="1:8" ht="21" x14ac:dyDescent="0.7">
      <c r="A116" s="2">
        <v>115</v>
      </c>
      <c r="B116" s="8" t="s">
        <v>20</v>
      </c>
      <c r="C116" s="10" t="s">
        <v>1108</v>
      </c>
      <c r="D116" s="3"/>
      <c r="E116" s="3">
        <v>1</v>
      </c>
      <c r="F116" s="3">
        <f t="shared" si="17"/>
        <v>123</v>
      </c>
      <c r="G116" s="3" t="s">
        <v>1109</v>
      </c>
      <c r="H116" s="5" t="s">
        <v>55</v>
      </c>
    </row>
    <row r="117" spans="1:8" ht="21" x14ac:dyDescent="0.7">
      <c r="A117" s="2">
        <v>116</v>
      </c>
      <c r="B117" s="8" t="s">
        <v>20</v>
      </c>
      <c r="C117" s="10" t="s">
        <v>1122</v>
      </c>
      <c r="D117" s="3"/>
      <c r="E117" s="3">
        <v>5</v>
      </c>
      <c r="F117" s="3">
        <f t="shared" si="17"/>
        <v>118</v>
      </c>
      <c r="G117" s="3">
        <v>5084</v>
      </c>
      <c r="H117" s="5" t="s">
        <v>153</v>
      </c>
    </row>
    <row r="118" spans="1:8" ht="21" x14ac:dyDescent="0.7">
      <c r="A118" s="2">
        <v>117</v>
      </c>
      <c r="B118" s="8" t="s">
        <v>20</v>
      </c>
      <c r="C118" s="10" t="s">
        <v>1116</v>
      </c>
      <c r="D118" s="3"/>
      <c r="E118" s="3">
        <v>1</v>
      </c>
      <c r="F118" s="3">
        <f t="shared" si="17"/>
        <v>117</v>
      </c>
      <c r="G118" s="3">
        <v>5089</v>
      </c>
      <c r="H118" s="5" t="s">
        <v>1125</v>
      </c>
    </row>
    <row r="119" spans="1:8" ht="21" x14ac:dyDescent="0.7">
      <c r="A119" s="2">
        <v>118</v>
      </c>
      <c r="B119" s="8" t="s">
        <v>20</v>
      </c>
      <c r="C119" s="10" t="s">
        <v>1116</v>
      </c>
      <c r="D119" s="3"/>
      <c r="E119" s="3">
        <v>1</v>
      </c>
      <c r="F119" s="3">
        <f t="shared" si="17"/>
        <v>116</v>
      </c>
      <c r="G119" s="3">
        <v>5090</v>
      </c>
      <c r="H119" s="5" t="s">
        <v>1126</v>
      </c>
    </row>
    <row r="120" spans="1:8" ht="21" x14ac:dyDescent="0.7">
      <c r="A120" s="2">
        <v>119</v>
      </c>
      <c r="B120" s="8" t="s">
        <v>20</v>
      </c>
      <c r="C120" s="10" t="s">
        <v>1127</v>
      </c>
      <c r="D120" s="3"/>
      <c r="E120" s="3">
        <v>1</v>
      </c>
      <c r="F120" s="3">
        <f t="shared" si="17"/>
        <v>115</v>
      </c>
      <c r="G120" s="3" t="s">
        <v>1128</v>
      </c>
      <c r="H120" s="5" t="s">
        <v>49</v>
      </c>
    </row>
    <row r="121" spans="1:8" ht="21" x14ac:dyDescent="0.7">
      <c r="A121" s="2">
        <v>120</v>
      </c>
      <c r="B121" s="8" t="s">
        <v>20</v>
      </c>
      <c r="C121" s="10" t="s">
        <v>1137</v>
      </c>
      <c r="D121" s="3"/>
      <c r="E121" s="3">
        <v>4</v>
      </c>
      <c r="F121" s="3">
        <f t="shared" ref="F121:F126" si="18">F120-E121</f>
        <v>111</v>
      </c>
      <c r="G121" s="3" t="s">
        <v>1138</v>
      </c>
      <c r="H121" s="5" t="s">
        <v>55</v>
      </c>
    </row>
    <row r="122" spans="1:8" ht="21" x14ac:dyDescent="0.7">
      <c r="A122" s="2">
        <v>121</v>
      </c>
      <c r="B122" s="8" t="s">
        <v>20</v>
      </c>
      <c r="C122" s="10" t="s">
        <v>1137</v>
      </c>
      <c r="D122" s="3"/>
      <c r="E122" s="3">
        <v>1</v>
      </c>
      <c r="F122" s="3">
        <f t="shared" si="18"/>
        <v>110</v>
      </c>
      <c r="G122" s="3" t="s">
        <v>1141</v>
      </c>
      <c r="H122" s="5" t="s">
        <v>49</v>
      </c>
    </row>
    <row r="123" spans="1:8" ht="21" x14ac:dyDescent="0.7">
      <c r="A123" s="2">
        <v>122</v>
      </c>
      <c r="B123" s="8" t="s">
        <v>20</v>
      </c>
      <c r="C123" s="10" t="s">
        <v>1143</v>
      </c>
      <c r="D123" s="3"/>
      <c r="E123" s="3">
        <v>1</v>
      </c>
      <c r="F123" s="3">
        <f t="shared" si="18"/>
        <v>109</v>
      </c>
      <c r="G123" s="3">
        <v>5100</v>
      </c>
      <c r="H123" s="5" t="s">
        <v>541</v>
      </c>
    </row>
    <row r="124" spans="1:8" ht="21" x14ac:dyDescent="0.7">
      <c r="A124" s="2">
        <v>123</v>
      </c>
      <c r="B124" s="8" t="s">
        <v>20</v>
      </c>
      <c r="C124" s="10" t="s">
        <v>1151</v>
      </c>
      <c r="D124" s="3"/>
      <c r="E124" s="3">
        <v>1</v>
      </c>
      <c r="F124" s="3">
        <f t="shared" si="18"/>
        <v>108</v>
      </c>
      <c r="G124" s="3">
        <v>5109</v>
      </c>
      <c r="H124" s="5" t="s">
        <v>541</v>
      </c>
    </row>
    <row r="125" spans="1:8" ht="21" x14ac:dyDescent="0.7">
      <c r="A125" s="2">
        <v>124</v>
      </c>
      <c r="B125" s="8" t="s">
        <v>20</v>
      </c>
      <c r="C125" s="10" t="s">
        <v>1151</v>
      </c>
      <c r="D125" s="3"/>
      <c r="E125" s="3">
        <v>1</v>
      </c>
      <c r="F125" s="3">
        <f t="shared" si="18"/>
        <v>107</v>
      </c>
      <c r="G125" s="3">
        <v>5110</v>
      </c>
      <c r="H125" s="5" t="s">
        <v>471</v>
      </c>
    </row>
    <row r="126" spans="1:8" ht="21" x14ac:dyDescent="0.7">
      <c r="A126" s="2">
        <v>125</v>
      </c>
      <c r="B126" s="8" t="s">
        <v>20</v>
      </c>
      <c r="C126" s="10" t="s">
        <v>1157</v>
      </c>
      <c r="D126" s="3"/>
      <c r="E126" s="3">
        <v>5</v>
      </c>
      <c r="F126" s="3">
        <f t="shared" si="18"/>
        <v>102</v>
      </c>
      <c r="G126" s="3">
        <v>5113</v>
      </c>
      <c r="H126" s="5" t="s">
        <v>1142</v>
      </c>
    </row>
    <row r="127" spans="1:8" ht="21" x14ac:dyDescent="0.7">
      <c r="A127" s="2">
        <v>126</v>
      </c>
      <c r="B127" s="8" t="s">
        <v>20</v>
      </c>
      <c r="C127" s="10" t="s">
        <v>1158</v>
      </c>
      <c r="D127" s="3"/>
      <c r="E127" s="3">
        <v>10</v>
      </c>
      <c r="F127" s="3">
        <f>F126-E127</f>
        <v>92</v>
      </c>
      <c r="G127" s="3">
        <v>5122</v>
      </c>
      <c r="H127" s="5" t="s">
        <v>43</v>
      </c>
    </row>
    <row r="128" spans="1:8" ht="21" x14ac:dyDescent="0.7">
      <c r="A128" s="2">
        <v>127</v>
      </c>
      <c r="B128" s="8" t="s">
        <v>20</v>
      </c>
      <c r="C128" s="10" t="s">
        <v>1158</v>
      </c>
      <c r="D128" s="3">
        <v>120</v>
      </c>
      <c r="E128" s="3"/>
      <c r="F128" s="3">
        <f>F127+D128</f>
        <v>212</v>
      </c>
      <c r="G128" s="3"/>
      <c r="H128" s="19" t="s">
        <v>1159</v>
      </c>
    </row>
    <row r="129" spans="1:8" ht="21" x14ac:dyDescent="0.7">
      <c r="A129" s="2">
        <v>128</v>
      </c>
      <c r="B129" s="8" t="s">
        <v>20</v>
      </c>
      <c r="C129" s="10" t="s">
        <v>1168</v>
      </c>
      <c r="D129" s="3"/>
      <c r="E129" s="3">
        <v>1</v>
      </c>
      <c r="F129" s="3">
        <f t="shared" ref="F129:F134" si="19">F128-E129</f>
        <v>211</v>
      </c>
      <c r="G129" s="3">
        <v>5126</v>
      </c>
      <c r="H129" s="5" t="s">
        <v>545</v>
      </c>
    </row>
    <row r="130" spans="1:8" ht="21" x14ac:dyDescent="0.7">
      <c r="A130" s="2">
        <v>129</v>
      </c>
      <c r="B130" s="8" t="s">
        <v>20</v>
      </c>
      <c r="C130" s="10" t="s">
        <v>1168</v>
      </c>
      <c r="D130" s="3"/>
      <c r="E130" s="3">
        <v>5</v>
      </c>
      <c r="F130" s="3">
        <f t="shared" si="19"/>
        <v>206</v>
      </c>
      <c r="G130" s="3">
        <v>5127</v>
      </c>
      <c r="H130" s="5" t="s">
        <v>545</v>
      </c>
    </row>
    <row r="131" spans="1:8" ht="21" x14ac:dyDescent="0.7">
      <c r="A131" s="2">
        <v>130</v>
      </c>
      <c r="B131" s="8" t="s">
        <v>20</v>
      </c>
      <c r="C131" s="10" t="s">
        <v>1182</v>
      </c>
      <c r="D131" s="3"/>
      <c r="E131" s="3">
        <v>8</v>
      </c>
      <c r="F131" s="3">
        <f t="shared" si="19"/>
        <v>198</v>
      </c>
      <c r="G131" s="3">
        <v>5149</v>
      </c>
      <c r="H131" s="5" t="s">
        <v>43</v>
      </c>
    </row>
    <row r="132" spans="1:8" ht="21" x14ac:dyDescent="0.7">
      <c r="A132" s="2">
        <v>131</v>
      </c>
      <c r="B132" s="8" t="s">
        <v>20</v>
      </c>
      <c r="C132" s="10" t="s">
        <v>1199</v>
      </c>
      <c r="D132" s="3"/>
      <c r="E132" s="3">
        <v>20</v>
      </c>
      <c r="F132" s="3">
        <f t="shared" si="19"/>
        <v>178</v>
      </c>
      <c r="G132" s="3">
        <v>5176</v>
      </c>
      <c r="H132" s="5" t="s">
        <v>1096</v>
      </c>
    </row>
    <row r="133" spans="1:8" ht="21" x14ac:dyDescent="0.7">
      <c r="A133" s="2">
        <v>132</v>
      </c>
      <c r="B133" s="8" t="s">
        <v>20</v>
      </c>
      <c r="C133" s="10" t="s">
        <v>1207</v>
      </c>
      <c r="D133" s="3"/>
      <c r="E133" s="3">
        <v>4</v>
      </c>
      <c r="F133" s="3">
        <f t="shared" si="19"/>
        <v>174</v>
      </c>
      <c r="G133" s="3" t="s">
        <v>1208</v>
      </c>
      <c r="H133" s="5" t="s">
        <v>55</v>
      </c>
    </row>
    <row r="134" spans="1:8" ht="21" x14ac:dyDescent="0.7">
      <c r="A134" s="2">
        <v>133</v>
      </c>
      <c r="B134" s="8" t="s">
        <v>20</v>
      </c>
      <c r="C134" s="10" t="s">
        <v>1211</v>
      </c>
      <c r="D134" s="3"/>
      <c r="E134" s="3">
        <v>10</v>
      </c>
      <c r="F134" s="3">
        <f t="shared" si="19"/>
        <v>164</v>
      </c>
      <c r="G134" s="3">
        <v>5185</v>
      </c>
      <c r="H134" s="5" t="s">
        <v>1212</v>
      </c>
    </row>
    <row r="135" spans="1:8" ht="21" x14ac:dyDescent="0.7">
      <c r="A135" s="2">
        <v>134</v>
      </c>
      <c r="B135" s="8" t="s">
        <v>20</v>
      </c>
      <c r="C135" s="10" t="s">
        <v>1215</v>
      </c>
      <c r="D135" s="3"/>
      <c r="E135" s="3">
        <v>2</v>
      </c>
      <c r="F135" s="3">
        <f t="shared" ref="F135:F140" si="20">F134-E135</f>
        <v>162</v>
      </c>
      <c r="G135" s="3">
        <v>5187</v>
      </c>
      <c r="H135" s="5" t="s">
        <v>614</v>
      </c>
    </row>
    <row r="136" spans="1:8" ht="21" x14ac:dyDescent="0.7">
      <c r="A136" s="2">
        <v>135</v>
      </c>
      <c r="B136" s="8" t="s">
        <v>20</v>
      </c>
      <c r="C136" s="10" t="s">
        <v>1218</v>
      </c>
      <c r="D136" s="3"/>
      <c r="E136" s="3">
        <v>2</v>
      </c>
      <c r="F136" s="3">
        <f t="shared" si="20"/>
        <v>160</v>
      </c>
      <c r="G136" s="3">
        <v>5192</v>
      </c>
      <c r="H136" s="5" t="s">
        <v>614</v>
      </c>
    </row>
    <row r="137" spans="1:8" ht="21" x14ac:dyDescent="0.7">
      <c r="A137" s="2">
        <v>136</v>
      </c>
      <c r="B137" s="8" t="s">
        <v>20</v>
      </c>
      <c r="C137" s="10" t="s">
        <v>1252</v>
      </c>
      <c r="D137" s="3"/>
      <c r="E137" s="3">
        <v>1</v>
      </c>
      <c r="F137" s="3">
        <f t="shared" si="20"/>
        <v>159</v>
      </c>
      <c r="G137" s="3" t="s">
        <v>1253</v>
      </c>
      <c r="H137" s="5" t="s">
        <v>49</v>
      </c>
    </row>
    <row r="138" spans="1:8" ht="21" x14ac:dyDescent="0.7">
      <c r="A138" s="2">
        <v>137</v>
      </c>
      <c r="B138" s="8" t="s">
        <v>20</v>
      </c>
      <c r="C138" s="10" t="s">
        <v>1264</v>
      </c>
      <c r="D138" s="3"/>
      <c r="E138" s="3">
        <v>8</v>
      </c>
      <c r="F138" s="3">
        <f t="shared" si="20"/>
        <v>151</v>
      </c>
      <c r="G138" s="3" t="s">
        <v>1265</v>
      </c>
      <c r="H138" s="5" t="s">
        <v>55</v>
      </c>
    </row>
    <row r="139" spans="1:8" ht="21" x14ac:dyDescent="0.7">
      <c r="A139" s="2">
        <v>138</v>
      </c>
      <c r="B139" s="8" t="s">
        <v>20</v>
      </c>
      <c r="C139" s="10" t="s">
        <v>1269</v>
      </c>
      <c r="D139" s="3"/>
      <c r="E139" s="3">
        <v>3</v>
      </c>
      <c r="F139" s="3">
        <f t="shared" si="20"/>
        <v>148</v>
      </c>
      <c r="G139" s="3">
        <v>5258</v>
      </c>
      <c r="H139" s="5" t="s">
        <v>1270</v>
      </c>
    </row>
    <row r="140" spans="1:8" ht="21" x14ac:dyDescent="0.7">
      <c r="A140" s="2">
        <v>139</v>
      </c>
      <c r="B140" s="8" t="s">
        <v>20</v>
      </c>
      <c r="C140" s="10" t="s">
        <v>1279</v>
      </c>
      <c r="D140" s="3"/>
      <c r="E140" s="3">
        <v>3</v>
      </c>
      <c r="F140" s="3">
        <f t="shared" si="20"/>
        <v>145</v>
      </c>
      <c r="G140" s="3" t="s">
        <v>1281</v>
      </c>
      <c r="H140" s="5" t="s">
        <v>49</v>
      </c>
    </row>
    <row r="141" spans="1:8" ht="21" x14ac:dyDescent="0.7">
      <c r="A141" s="2">
        <v>140</v>
      </c>
      <c r="B141" s="8" t="s">
        <v>20</v>
      </c>
      <c r="C141" s="10" t="s">
        <v>1289</v>
      </c>
      <c r="D141" s="3"/>
      <c r="E141" s="3">
        <v>20</v>
      </c>
      <c r="F141" s="3">
        <f t="shared" ref="F141:F146" si="21">F140-E141</f>
        <v>125</v>
      </c>
      <c r="G141" s="3">
        <v>5291</v>
      </c>
      <c r="H141" s="5" t="s">
        <v>1212</v>
      </c>
    </row>
    <row r="142" spans="1:8" ht="21" x14ac:dyDescent="0.7">
      <c r="A142" s="2">
        <v>141</v>
      </c>
      <c r="B142" s="8" t="s">
        <v>20</v>
      </c>
      <c r="C142" s="10" t="s">
        <v>1292</v>
      </c>
      <c r="D142" s="3"/>
      <c r="E142" s="3">
        <v>1</v>
      </c>
      <c r="F142" s="3">
        <f t="shared" si="21"/>
        <v>124</v>
      </c>
      <c r="G142" s="3">
        <v>5294</v>
      </c>
      <c r="H142" s="5" t="s">
        <v>1293</v>
      </c>
    </row>
    <row r="143" spans="1:8" ht="21" x14ac:dyDescent="0.7">
      <c r="A143" s="2">
        <v>142</v>
      </c>
      <c r="B143" s="8" t="s">
        <v>20</v>
      </c>
      <c r="C143" s="10" t="s">
        <v>1300</v>
      </c>
      <c r="D143" s="3"/>
      <c r="E143" s="3">
        <v>1</v>
      </c>
      <c r="F143" s="3">
        <f t="shared" si="21"/>
        <v>123</v>
      </c>
      <c r="G143" s="3" t="s">
        <v>1301</v>
      </c>
      <c r="H143" s="5" t="s">
        <v>55</v>
      </c>
    </row>
    <row r="144" spans="1:8" ht="21" x14ac:dyDescent="0.7">
      <c r="A144" s="2">
        <v>143</v>
      </c>
      <c r="B144" s="8" t="s">
        <v>20</v>
      </c>
      <c r="C144" s="10" t="s">
        <v>1302</v>
      </c>
      <c r="D144" s="3"/>
      <c r="E144" s="3">
        <v>3</v>
      </c>
      <c r="F144" s="3">
        <f t="shared" si="21"/>
        <v>120</v>
      </c>
      <c r="G144" s="3" t="s">
        <v>1303</v>
      </c>
      <c r="H144" s="5" t="s">
        <v>49</v>
      </c>
    </row>
    <row r="145" spans="1:8" ht="21" x14ac:dyDescent="0.7">
      <c r="A145" s="2">
        <v>144</v>
      </c>
      <c r="B145" s="8" t="s">
        <v>20</v>
      </c>
      <c r="C145" s="10" t="s">
        <v>1308</v>
      </c>
      <c r="D145" s="3"/>
      <c r="E145" s="3">
        <v>1</v>
      </c>
      <c r="F145" s="3">
        <f t="shared" si="21"/>
        <v>119</v>
      </c>
      <c r="G145" s="3">
        <v>5310</v>
      </c>
      <c r="H145" s="5" t="s">
        <v>1310</v>
      </c>
    </row>
    <row r="146" spans="1:8" ht="21" x14ac:dyDescent="0.7">
      <c r="A146" s="2">
        <v>145</v>
      </c>
      <c r="B146" s="8" t="s">
        <v>20</v>
      </c>
      <c r="C146" s="10" t="s">
        <v>1327</v>
      </c>
      <c r="D146" s="3"/>
      <c r="E146" s="3">
        <v>2</v>
      </c>
      <c r="F146" s="3">
        <f t="shared" si="21"/>
        <v>117</v>
      </c>
      <c r="G146" s="3">
        <v>5330</v>
      </c>
      <c r="H146" s="5" t="s">
        <v>1328</v>
      </c>
    </row>
    <row r="147" spans="1:8" ht="21" x14ac:dyDescent="0.7">
      <c r="A147" s="2">
        <v>146</v>
      </c>
      <c r="B147" s="8" t="s">
        <v>20</v>
      </c>
      <c r="C147" s="10" t="s">
        <v>1329</v>
      </c>
      <c r="D147" s="3"/>
      <c r="E147" s="3">
        <v>2</v>
      </c>
      <c r="F147" s="3">
        <f t="shared" ref="F147:F152" si="22">F146-E147</f>
        <v>115</v>
      </c>
      <c r="G147" s="3" t="s">
        <v>1330</v>
      </c>
      <c r="H147" s="5" t="s">
        <v>55</v>
      </c>
    </row>
    <row r="148" spans="1:8" ht="21" x14ac:dyDescent="0.7">
      <c r="A148" s="2">
        <v>147</v>
      </c>
      <c r="B148" s="8" t="s">
        <v>20</v>
      </c>
      <c r="C148" s="10" t="s">
        <v>1340</v>
      </c>
      <c r="D148" s="3"/>
      <c r="E148" s="3">
        <v>1</v>
      </c>
      <c r="F148" s="3">
        <f t="shared" si="22"/>
        <v>114</v>
      </c>
      <c r="G148" s="3">
        <v>5336</v>
      </c>
      <c r="H148" s="5" t="s">
        <v>1310</v>
      </c>
    </row>
    <row r="149" spans="1:8" ht="21" x14ac:dyDescent="0.7">
      <c r="A149" s="2">
        <v>148</v>
      </c>
      <c r="B149" s="8" t="s">
        <v>20</v>
      </c>
      <c r="C149" s="10" t="s">
        <v>1350</v>
      </c>
      <c r="D149" s="3"/>
      <c r="E149" s="3">
        <v>15</v>
      </c>
      <c r="F149" s="3">
        <f t="shared" si="22"/>
        <v>99</v>
      </c>
      <c r="G149" s="3">
        <v>5351</v>
      </c>
      <c r="H149" s="5" t="s">
        <v>400</v>
      </c>
    </row>
    <row r="150" spans="1:8" ht="21" x14ac:dyDescent="0.7">
      <c r="A150" s="2">
        <v>149</v>
      </c>
      <c r="B150" s="8" t="s">
        <v>20</v>
      </c>
      <c r="C150" s="10" t="s">
        <v>1365</v>
      </c>
      <c r="D150" s="3"/>
      <c r="E150" s="3">
        <v>1</v>
      </c>
      <c r="F150" s="3">
        <f t="shared" si="22"/>
        <v>98</v>
      </c>
      <c r="G150" s="3">
        <v>5375</v>
      </c>
      <c r="H150" s="5" t="s">
        <v>1367</v>
      </c>
    </row>
    <row r="151" spans="1:8" ht="21" x14ac:dyDescent="0.7">
      <c r="A151" s="2">
        <v>150</v>
      </c>
      <c r="B151" s="8" t="s">
        <v>20</v>
      </c>
      <c r="C151" s="10" t="s">
        <v>1368</v>
      </c>
      <c r="D151" s="3"/>
      <c r="E151" s="3">
        <v>1</v>
      </c>
      <c r="F151" s="3">
        <f t="shared" si="22"/>
        <v>97</v>
      </c>
      <c r="G151" s="3" t="s">
        <v>1369</v>
      </c>
      <c r="H151" s="5" t="s">
        <v>55</v>
      </c>
    </row>
    <row r="152" spans="1:8" ht="21" x14ac:dyDescent="0.7">
      <c r="A152" s="2">
        <v>151</v>
      </c>
      <c r="B152" s="8" t="s">
        <v>20</v>
      </c>
      <c r="C152" s="10" t="s">
        <v>1372</v>
      </c>
      <c r="D152" s="3"/>
      <c r="E152" s="3">
        <v>1</v>
      </c>
      <c r="F152" s="3">
        <f t="shared" si="22"/>
        <v>96</v>
      </c>
      <c r="G152" s="3">
        <v>5384</v>
      </c>
      <c r="H152" s="5" t="s">
        <v>780</v>
      </c>
    </row>
    <row r="153" spans="1:8" ht="21" x14ac:dyDescent="0.7">
      <c r="A153" s="2">
        <v>152</v>
      </c>
      <c r="B153" s="8" t="s">
        <v>20</v>
      </c>
      <c r="C153" s="10" t="s">
        <v>1377</v>
      </c>
      <c r="D153" s="3"/>
      <c r="E153" s="3">
        <v>5</v>
      </c>
      <c r="F153" s="3">
        <f t="shared" ref="F153:F158" si="23">F152-E153</f>
        <v>91</v>
      </c>
      <c r="G153" s="3">
        <v>5391</v>
      </c>
      <c r="H153" s="5" t="s">
        <v>61</v>
      </c>
    </row>
    <row r="154" spans="1:8" ht="21" x14ac:dyDescent="0.7">
      <c r="A154" s="2">
        <v>153</v>
      </c>
      <c r="B154" s="8" t="s">
        <v>20</v>
      </c>
      <c r="C154" s="10" t="s">
        <v>1381</v>
      </c>
      <c r="D154" s="3"/>
      <c r="E154" s="3">
        <v>30</v>
      </c>
      <c r="F154" s="3">
        <f t="shared" si="23"/>
        <v>61</v>
      </c>
      <c r="G154" s="3">
        <v>5392</v>
      </c>
      <c r="H154" s="5" t="s">
        <v>400</v>
      </c>
    </row>
    <row r="155" spans="1:8" ht="21" x14ac:dyDescent="0.7">
      <c r="A155" s="2">
        <v>154</v>
      </c>
      <c r="B155" s="8" t="s">
        <v>20</v>
      </c>
      <c r="C155" s="10" t="s">
        <v>1382</v>
      </c>
      <c r="D155" s="3"/>
      <c r="E155" s="3">
        <v>1</v>
      </c>
      <c r="F155" s="3">
        <f t="shared" si="23"/>
        <v>60</v>
      </c>
      <c r="G155" s="3" t="s">
        <v>1383</v>
      </c>
      <c r="H155" s="5" t="s">
        <v>55</v>
      </c>
    </row>
    <row r="156" spans="1:8" ht="21" x14ac:dyDescent="0.7">
      <c r="A156" s="2">
        <v>155</v>
      </c>
      <c r="B156" s="8" t="s">
        <v>20</v>
      </c>
      <c r="C156" s="10" t="s">
        <v>1388</v>
      </c>
      <c r="D156" s="3"/>
      <c r="E156" s="3">
        <v>2</v>
      </c>
      <c r="F156" s="3">
        <f t="shared" si="23"/>
        <v>58</v>
      </c>
      <c r="G156" s="3" t="s">
        <v>1389</v>
      </c>
      <c r="H156" s="5" t="s">
        <v>55</v>
      </c>
    </row>
    <row r="157" spans="1:8" ht="21" x14ac:dyDescent="0.7">
      <c r="A157" s="2">
        <v>156</v>
      </c>
      <c r="B157" s="8" t="s">
        <v>20</v>
      </c>
      <c r="C157" s="10" t="s">
        <v>1402</v>
      </c>
      <c r="D157" s="3"/>
      <c r="E157" s="3">
        <v>4</v>
      </c>
      <c r="F157" s="3">
        <f t="shared" si="23"/>
        <v>54</v>
      </c>
      <c r="G157" s="3" t="s">
        <v>1403</v>
      </c>
      <c r="H157" s="5" t="s">
        <v>55</v>
      </c>
    </row>
    <row r="158" spans="1:8" ht="21" x14ac:dyDescent="0.7">
      <c r="A158" s="2">
        <v>157</v>
      </c>
      <c r="B158" s="8" t="s">
        <v>20</v>
      </c>
      <c r="C158" s="10" t="s">
        <v>1404</v>
      </c>
      <c r="D158" s="3"/>
      <c r="E158" s="3">
        <v>1</v>
      </c>
      <c r="F158" s="3">
        <f t="shared" si="23"/>
        <v>53</v>
      </c>
      <c r="G158" s="3" t="s">
        <v>1405</v>
      </c>
      <c r="H158" s="5" t="s">
        <v>55</v>
      </c>
    </row>
    <row r="159" spans="1:8" ht="21" x14ac:dyDescent="0.7">
      <c r="A159" s="2">
        <v>158</v>
      </c>
      <c r="B159" s="8" t="s">
        <v>20</v>
      </c>
      <c r="C159" s="10" t="s">
        <v>1412</v>
      </c>
      <c r="D159" s="3"/>
      <c r="E159" s="3">
        <v>8</v>
      </c>
      <c r="F159" s="3">
        <f t="shared" ref="F159:F164" si="24">F158-E159</f>
        <v>45</v>
      </c>
      <c r="G159" s="3">
        <v>5425</v>
      </c>
      <c r="H159" s="5" t="s">
        <v>43</v>
      </c>
    </row>
    <row r="160" spans="1:8" ht="21" x14ac:dyDescent="0.7">
      <c r="A160" s="2">
        <v>159</v>
      </c>
      <c r="B160" s="8" t="s">
        <v>20</v>
      </c>
      <c r="C160" s="10" t="s">
        <v>1418</v>
      </c>
      <c r="D160" s="3"/>
      <c r="E160" s="3">
        <v>2</v>
      </c>
      <c r="F160" s="3">
        <f t="shared" si="24"/>
        <v>43</v>
      </c>
      <c r="G160" s="3">
        <v>5426</v>
      </c>
      <c r="H160" s="5" t="s">
        <v>153</v>
      </c>
    </row>
    <row r="161" spans="1:9" ht="21" x14ac:dyDescent="0.7">
      <c r="A161" s="2">
        <v>160</v>
      </c>
      <c r="B161" s="8" t="s">
        <v>20</v>
      </c>
      <c r="C161" s="10" t="s">
        <v>1430</v>
      </c>
      <c r="D161" s="3"/>
      <c r="E161" s="3">
        <v>1</v>
      </c>
      <c r="F161" s="3">
        <f t="shared" si="24"/>
        <v>42</v>
      </c>
      <c r="G161" s="3">
        <v>5439</v>
      </c>
      <c r="H161" s="5" t="s">
        <v>513</v>
      </c>
    </row>
    <row r="162" spans="1:9" ht="21" x14ac:dyDescent="0.7">
      <c r="A162" s="2">
        <v>161</v>
      </c>
      <c r="B162" s="8" t="s">
        <v>20</v>
      </c>
      <c r="C162" s="10" t="s">
        <v>1432</v>
      </c>
      <c r="D162" s="3"/>
      <c r="E162" s="3">
        <v>2</v>
      </c>
      <c r="F162" s="3">
        <f t="shared" si="24"/>
        <v>40</v>
      </c>
      <c r="G162" s="3" t="s">
        <v>1433</v>
      </c>
      <c r="H162" s="5" t="s">
        <v>55</v>
      </c>
    </row>
    <row r="163" spans="1:9" ht="21" x14ac:dyDescent="0.7">
      <c r="A163" s="2">
        <v>162</v>
      </c>
      <c r="B163" s="8" t="s">
        <v>20</v>
      </c>
      <c r="C163" s="10" t="s">
        <v>1432</v>
      </c>
      <c r="D163" s="3"/>
      <c r="E163" s="3">
        <v>12</v>
      </c>
      <c r="F163" s="3">
        <f t="shared" si="24"/>
        <v>28</v>
      </c>
      <c r="G163" s="3" t="s">
        <v>1434</v>
      </c>
      <c r="H163" s="5" t="s">
        <v>55</v>
      </c>
    </row>
    <row r="164" spans="1:9" ht="21" x14ac:dyDescent="0.7">
      <c r="A164" s="2">
        <v>163</v>
      </c>
      <c r="B164" s="8" t="s">
        <v>20</v>
      </c>
      <c r="C164" s="10" t="s">
        <v>1435</v>
      </c>
      <c r="D164" s="3"/>
      <c r="E164" s="3">
        <v>2</v>
      </c>
      <c r="F164" s="3">
        <f t="shared" si="24"/>
        <v>26</v>
      </c>
      <c r="G164" s="3">
        <v>5443</v>
      </c>
      <c r="H164" s="5" t="s">
        <v>545</v>
      </c>
    </row>
    <row r="165" spans="1:9" ht="21" x14ac:dyDescent="0.7">
      <c r="A165" s="2">
        <v>164</v>
      </c>
      <c r="B165" s="8" t="s">
        <v>20</v>
      </c>
      <c r="C165" s="10" t="s">
        <v>1444</v>
      </c>
      <c r="D165" s="3"/>
      <c r="E165" s="3">
        <v>1</v>
      </c>
      <c r="F165" s="3">
        <f t="shared" ref="F165:F170" si="25">F164-E165</f>
        <v>25</v>
      </c>
      <c r="G165" s="3">
        <v>5451</v>
      </c>
      <c r="H165" s="5" t="s">
        <v>513</v>
      </c>
    </row>
    <row r="166" spans="1:9" ht="21" x14ac:dyDescent="0.7">
      <c r="A166" s="2">
        <v>165</v>
      </c>
      <c r="B166" s="8" t="s">
        <v>20</v>
      </c>
      <c r="C166" s="10" t="s">
        <v>1459</v>
      </c>
      <c r="D166" s="3"/>
      <c r="E166" s="3">
        <v>1</v>
      </c>
      <c r="F166" s="3">
        <f t="shared" si="25"/>
        <v>24</v>
      </c>
      <c r="G166" s="3" t="s">
        <v>1460</v>
      </c>
      <c r="H166" s="5" t="s">
        <v>55</v>
      </c>
    </row>
    <row r="167" spans="1:9" ht="21" x14ac:dyDescent="0.7">
      <c r="A167" s="2">
        <v>166</v>
      </c>
      <c r="B167" s="8" t="s">
        <v>20</v>
      </c>
      <c r="C167" s="10" t="s">
        <v>1464</v>
      </c>
      <c r="D167" s="3"/>
      <c r="E167" s="3">
        <v>3</v>
      </c>
      <c r="F167" s="3">
        <f t="shared" si="25"/>
        <v>21</v>
      </c>
      <c r="G167" s="3">
        <v>5469</v>
      </c>
      <c r="H167" s="5" t="s">
        <v>61</v>
      </c>
    </row>
    <row r="168" spans="1:9" ht="21" x14ac:dyDescent="0.7">
      <c r="A168" s="2">
        <v>167</v>
      </c>
      <c r="B168" s="8" t="s">
        <v>20</v>
      </c>
      <c r="C168" s="10" t="s">
        <v>1467</v>
      </c>
      <c r="D168" s="3"/>
      <c r="E168" s="3">
        <v>1</v>
      </c>
      <c r="F168" s="3">
        <f t="shared" si="25"/>
        <v>20</v>
      </c>
      <c r="G168" s="3" t="s">
        <v>1468</v>
      </c>
      <c r="H168" s="5" t="s">
        <v>55</v>
      </c>
    </row>
    <row r="169" spans="1:9" ht="21" x14ac:dyDescent="0.7">
      <c r="A169" s="2">
        <v>168</v>
      </c>
      <c r="B169" s="8" t="s">
        <v>20</v>
      </c>
      <c r="C169" s="10" t="s">
        <v>1470</v>
      </c>
      <c r="D169" s="3"/>
      <c r="E169" s="3">
        <v>1</v>
      </c>
      <c r="F169" s="3">
        <f t="shared" si="25"/>
        <v>19</v>
      </c>
      <c r="G169" s="3" t="s">
        <v>1471</v>
      </c>
      <c r="H169" s="5" t="s">
        <v>1473</v>
      </c>
    </row>
    <row r="170" spans="1:9" ht="21" x14ac:dyDescent="0.7">
      <c r="A170" s="2">
        <v>169</v>
      </c>
      <c r="B170" s="8" t="s">
        <v>20</v>
      </c>
      <c r="C170" s="10" t="s">
        <v>1475</v>
      </c>
      <c r="D170" s="3"/>
      <c r="E170" s="3">
        <v>6</v>
      </c>
      <c r="F170" s="3">
        <f t="shared" si="25"/>
        <v>13</v>
      </c>
      <c r="G170" s="3" t="s">
        <v>1476</v>
      </c>
      <c r="H170" s="5" t="s">
        <v>55</v>
      </c>
    </row>
    <row r="171" spans="1:9" ht="21" x14ac:dyDescent="0.7">
      <c r="A171" s="2">
        <v>170</v>
      </c>
      <c r="B171" s="8" t="s">
        <v>20</v>
      </c>
      <c r="C171" s="10" t="s">
        <v>1488</v>
      </c>
      <c r="D171" s="3"/>
      <c r="E171" s="3">
        <v>3</v>
      </c>
      <c r="F171" s="3">
        <f>F170-E171</f>
        <v>10</v>
      </c>
      <c r="G171" s="3">
        <v>5498</v>
      </c>
      <c r="H171" s="5" t="s">
        <v>614</v>
      </c>
    </row>
    <row r="172" spans="1:9" ht="21" x14ac:dyDescent="0.7">
      <c r="A172" s="2">
        <v>171</v>
      </c>
      <c r="B172" s="8" t="s">
        <v>20</v>
      </c>
      <c r="C172" s="10" t="s">
        <v>1493</v>
      </c>
      <c r="D172" s="3"/>
      <c r="E172" s="3">
        <v>2</v>
      </c>
      <c r="F172" s="3">
        <f>F171-E172</f>
        <v>8</v>
      </c>
      <c r="G172" s="3" t="s">
        <v>1494</v>
      </c>
      <c r="H172" s="5" t="s">
        <v>55</v>
      </c>
    </row>
    <row r="173" spans="1:9" ht="21" x14ac:dyDescent="0.7">
      <c r="A173" s="2">
        <v>172</v>
      </c>
      <c r="B173" s="8" t="s">
        <v>20</v>
      </c>
      <c r="C173" s="10" t="s">
        <v>1495</v>
      </c>
      <c r="D173" s="3"/>
      <c r="E173" s="3">
        <v>2</v>
      </c>
      <c r="F173" s="3">
        <f>F172-E173</f>
        <v>6</v>
      </c>
      <c r="G173" s="3" t="s">
        <v>1496</v>
      </c>
      <c r="H173" s="5" t="s">
        <v>55</v>
      </c>
      <c r="I173" t="s">
        <v>1268</v>
      </c>
    </row>
    <row r="174" spans="1:9" ht="21" x14ac:dyDescent="0.7">
      <c r="A174" s="2">
        <v>173</v>
      </c>
      <c r="B174" s="8" t="s">
        <v>20</v>
      </c>
      <c r="C174" s="10" t="s">
        <v>1538</v>
      </c>
      <c r="D174" s="16">
        <v>96</v>
      </c>
      <c r="E174" s="3"/>
      <c r="F174" s="3">
        <f>F173+D174</f>
        <v>102</v>
      </c>
      <c r="G174" s="3"/>
      <c r="H174" s="19" t="s">
        <v>1539</v>
      </c>
    </row>
    <row r="175" spans="1:9" ht="21" x14ac:dyDescent="0.7">
      <c r="A175" s="2">
        <v>174</v>
      </c>
      <c r="B175" s="8" t="s">
        <v>20</v>
      </c>
      <c r="C175" s="10" t="s">
        <v>1526</v>
      </c>
      <c r="D175" s="3"/>
      <c r="E175" s="3">
        <v>4</v>
      </c>
      <c r="F175" s="3">
        <f t="shared" ref="F175:F180" si="26">F174-E175</f>
        <v>98</v>
      </c>
      <c r="G175" s="3">
        <v>5554</v>
      </c>
      <c r="H175" s="5" t="s">
        <v>614</v>
      </c>
      <c r="I175" s="24"/>
    </row>
    <row r="176" spans="1:9" ht="21" x14ac:dyDescent="0.7">
      <c r="A176" s="2">
        <v>175</v>
      </c>
      <c r="B176" s="8" t="s">
        <v>20</v>
      </c>
      <c r="C176" s="10" t="s">
        <v>1544</v>
      </c>
      <c r="D176" s="3"/>
      <c r="E176" s="3">
        <v>60</v>
      </c>
      <c r="F176" s="3">
        <f t="shared" si="26"/>
        <v>38</v>
      </c>
      <c r="G176" s="3">
        <v>5564</v>
      </c>
      <c r="H176" s="5" t="s">
        <v>1545</v>
      </c>
    </row>
    <row r="177" spans="1:8" ht="21" x14ac:dyDescent="0.7">
      <c r="A177" s="2">
        <v>176</v>
      </c>
      <c r="B177" s="8" t="s">
        <v>20</v>
      </c>
      <c r="C177" s="10" t="s">
        <v>1546</v>
      </c>
      <c r="D177" s="3"/>
      <c r="E177" s="3">
        <v>1</v>
      </c>
      <c r="F177" s="3">
        <f t="shared" si="26"/>
        <v>37</v>
      </c>
      <c r="G177" s="3" t="s">
        <v>1547</v>
      </c>
      <c r="H177" s="5" t="s">
        <v>55</v>
      </c>
    </row>
    <row r="178" spans="1:8" ht="21" x14ac:dyDescent="0.7">
      <c r="A178" s="2">
        <v>177</v>
      </c>
      <c r="B178" s="8" t="s">
        <v>20</v>
      </c>
      <c r="C178" s="10" t="s">
        <v>1550</v>
      </c>
      <c r="D178" s="3"/>
      <c r="E178" s="3">
        <v>1</v>
      </c>
      <c r="F178" s="3">
        <f t="shared" si="26"/>
        <v>36</v>
      </c>
      <c r="G178" s="3">
        <v>5565</v>
      </c>
      <c r="H178" s="5" t="s">
        <v>996</v>
      </c>
    </row>
    <row r="179" spans="1:8" ht="21" x14ac:dyDescent="0.7">
      <c r="A179" s="2">
        <v>178</v>
      </c>
      <c r="B179" s="8" t="s">
        <v>20</v>
      </c>
      <c r="C179" s="10" t="s">
        <v>1554</v>
      </c>
      <c r="D179" s="3"/>
      <c r="E179" s="3">
        <v>1</v>
      </c>
      <c r="F179" s="3">
        <f t="shared" si="26"/>
        <v>35</v>
      </c>
      <c r="G179" s="3" t="s">
        <v>1555</v>
      </c>
      <c r="H179" s="5" t="s">
        <v>55</v>
      </c>
    </row>
    <row r="180" spans="1:8" ht="21" x14ac:dyDescent="0.7">
      <c r="A180" s="2">
        <v>179</v>
      </c>
      <c r="B180" s="8" t="s">
        <v>20</v>
      </c>
      <c r="C180" s="10" t="s">
        <v>1554</v>
      </c>
      <c r="D180" s="3"/>
      <c r="E180" s="3">
        <v>3</v>
      </c>
      <c r="F180" s="3">
        <f t="shared" si="26"/>
        <v>32</v>
      </c>
      <c r="G180" s="3">
        <v>5593</v>
      </c>
      <c r="H180" s="5" t="s">
        <v>1270</v>
      </c>
    </row>
    <row r="181" spans="1:8" ht="21" x14ac:dyDescent="0.7">
      <c r="A181" s="2">
        <v>180</v>
      </c>
      <c r="B181" s="8" t="s">
        <v>20</v>
      </c>
      <c r="C181" s="10" t="s">
        <v>1562</v>
      </c>
      <c r="D181" s="3"/>
      <c r="E181" s="3">
        <v>2</v>
      </c>
      <c r="F181" s="3">
        <f t="shared" ref="F181:F186" si="27">F180-E181</f>
        <v>30</v>
      </c>
      <c r="G181" s="3">
        <v>5618</v>
      </c>
      <c r="H181" s="5" t="s">
        <v>61</v>
      </c>
    </row>
    <row r="182" spans="1:8" ht="21" x14ac:dyDescent="0.7">
      <c r="A182" s="2">
        <v>181</v>
      </c>
      <c r="B182" s="8" t="s">
        <v>20</v>
      </c>
      <c r="C182" s="10" t="s">
        <v>1565</v>
      </c>
      <c r="D182" s="3"/>
      <c r="E182" s="3">
        <v>4</v>
      </c>
      <c r="F182" s="3">
        <f t="shared" si="27"/>
        <v>26</v>
      </c>
      <c r="G182" s="3" t="s">
        <v>1566</v>
      </c>
      <c r="H182" s="5" t="s">
        <v>55</v>
      </c>
    </row>
    <row r="183" spans="1:8" ht="21" x14ac:dyDescent="0.7">
      <c r="A183" s="2">
        <v>182</v>
      </c>
      <c r="B183" s="8" t="s">
        <v>20</v>
      </c>
      <c r="C183" s="10" t="s">
        <v>1569</v>
      </c>
      <c r="D183" s="3"/>
      <c r="E183" s="3">
        <v>3</v>
      </c>
      <c r="F183" s="3">
        <f t="shared" si="27"/>
        <v>23</v>
      </c>
      <c r="G183" s="3" t="s">
        <v>1570</v>
      </c>
      <c r="H183" s="5" t="s">
        <v>55</v>
      </c>
    </row>
    <row r="184" spans="1:8" ht="21" x14ac:dyDescent="0.7">
      <c r="A184" s="2">
        <v>183</v>
      </c>
      <c r="B184" s="8" t="s">
        <v>20</v>
      </c>
      <c r="C184" s="10" t="s">
        <v>1581</v>
      </c>
      <c r="D184" s="3"/>
      <c r="E184" s="3">
        <v>2</v>
      </c>
      <c r="F184" s="3">
        <f t="shared" si="27"/>
        <v>21</v>
      </c>
      <c r="G184" s="3" t="s">
        <v>1582</v>
      </c>
      <c r="H184" s="5" t="s">
        <v>55</v>
      </c>
    </row>
    <row r="185" spans="1:8" ht="21" x14ac:dyDescent="0.7">
      <c r="A185" s="2">
        <v>184</v>
      </c>
      <c r="B185" s="8" t="s">
        <v>20</v>
      </c>
      <c r="C185" s="10" t="s">
        <v>1585</v>
      </c>
      <c r="D185" s="3"/>
      <c r="E185" s="3">
        <v>10</v>
      </c>
      <c r="F185" s="3">
        <f t="shared" si="27"/>
        <v>11</v>
      </c>
      <c r="G185" s="3">
        <v>5635</v>
      </c>
      <c r="H185" s="5" t="s">
        <v>61</v>
      </c>
    </row>
    <row r="186" spans="1:8" ht="21" x14ac:dyDescent="0.7">
      <c r="A186" s="2">
        <v>185</v>
      </c>
      <c r="B186" s="8" t="s">
        <v>20</v>
      </c>
      <c r="C186" s="10" t="s">
        <v>1592</v>
      </c>
      <c r="D186" s="3"/>
      <c r="E186" s="3">
        <v>1</v>
      </c>
      <c r="F186" s="3">
        <f t="shared" si="27"/>
        <v>10</v>
      </c>
      <c r="G186" s="3">
        <v>5670</v>
      </c>
      <c r="H186" s="5" t="s">
        <v>933</v>
      </c>
    </row>
    <row r="187" spans="1:8" ht="21" x14ac:dyDescent="0.7">
      <c r="A187" s="2">
        <v>186</v>
      </c>
      <c r="B187" s="8" t="s">
        <v>20</v>
      </c>
      <c r="C187" s="10" t="s">
        <v>1594</v>
      </c>
      <c r="D187" s="16">
        <v>120</v>
      </c>
      <c r="E187" s="3"/>
      <c r="F187" s="3">
        <f>F186+D187</f>
        <v>130</v>
      </c>
      <c r="G187" s="3"/>
      <c r="H187" s="19" t="s">
        <v>1595</v>
      </c>
    </row>
    <row r="188" spans="1:8" ht="21" x14ac:dyDescent="0.7">
      <c r="A188" s="2">
        <v>187</v>
      </c>
      <c r="B188" s="8" t="s">
        <v>20</v>
      </c>
      <c r="C188" s="10" t="s">
        <v>1602</v>
      </c>
      <c r="D188" s="3"/>
      <c r="E188" s="3">
        <v>1</v>
      </c>
      <c r="F188" s="3">
        <f t="shared" ref="F188:F193" si="28">F187-E188</f>
        <v>129</v>
      </c>
      <c r="G188" s="3">
        <v>5681</v>
      </c>
      <c r="H188" s="5" t="s">
        <v>359</v>
      </c>
    </row>
    <row r="189" spans="1:8" ht="21" x14ac:dyDescent="0.7">
      <c r="A189" s="2">
        <v>188</v>
      </c>
      <c r="B189" s="8" t="s">
        <v>20</v>
      </c>
      <c r="C189" s="10" t="s">
        <v>1611</v>
      </c>
      <c r="D189" s="3"/>
      <c r="E189" s="3">
        <v>3</v>
      </c>
      <c r="F189" s="3">
        <f t="shared" si="28"/>
        <v>126</v>
      </c>
      <c r="G189" s="3" t="s">
        <v>1612</v>
      </c>
      <c r="H189" s="5" t="s">
        <v>55</v>
      </c>
    </row>
    <row r="190" spans="1:8" ht="21" x14ac:dyDescent="0.7">
      <c r="A190" s="2">
        <v>189</v>
      </c>
      <c r="B190" s="8" t="s">
        <v>20</v>
      </c>
      <c r="C190" s="10" t="s">
        <v>1613</v>
      </c>
      <c r="D190" s="3"/>
      <c r="E190" s="3">
        <v>1</v>
      </c>
      <c r="F190" s="3">
        <f t="shared" si="28"/>
        <v>125</v>
      </c>
      <c r="G190" s="3">
        <v>5714</v>
      </c>
      <c r="H190" s="5" t="s">
        <v>1616</v>
      </c>
    </row>
    <row r="191" spans="1:8" ht="21" x14ac:dyDescent="0.7">
      <c r="A191" s="2">
        <v>190</v>
      </c>
      <c r="B191" s="8" t="s">
        <v>20</v>
      </c>
      <c r="C191" s="10" t="s">
        <v>1619</v>
      </c>
      <c r="D191" s="3"/>
      <c r="E191" s="3">
        <v>1</v>
      </c>
      <c r="F191" s="3">
        <f t="shared" si="28"/>
        <v>124</v>
      </c>
      <c r="G191" s="3">
        <v>5716</v>
      </c>
      <c r="H191" s="5" t="s">
        <v>1621</v>
      </c>
    </row>
    <row r="192" spans="1:8" ht="21" x14ac:dyDescent="0.7">
      <c r="A192" s="2">
        <v>191</v>
      </c>
      <c r="B192" s="8" t="s">
        <v>20</v>
      </c>
      <c r="C192" s="10" t="s">
        <v>1633</v>
      </c>
      <c r="D192" s="3"/>
      <c r="E192" s="3">
        <v>10</v>
      </c>
      <c r="F192" s="3">
        <f t="shared" si="28"/>
        <v>114</v>
      </c>
      <c r="G192" s="3" t="s">
        <v>1634</v>
      </c>
      <c r="H192" s="5" t="s">
        <v>55</v>
      </c>
    </row>
    <row r="193" spans="1:8" ht="21" x14ac:dyDescent="0.7">
      <c r="A193" s="2">
        <v>192</v>
      </c>
      <c r="B193" s="8" t="s">
        <v>20</v>
      </c>
      <c r="C193" s="10" t="s">
        <v>1645</v>
      </c>
      <c r="D193" s="3"/>
      <c r="E193" s="3">
        <v>2</v>
      </c>
      <c r="F193" s="3">
        <f t="shared" si="28"/>
        <v>112</v>
      </c>
      <c r="G193" s="3" t="s">
        <v>1646</v>
      </c>
      <c r="H193" s="5" t="s">
        <v>55</v>
      </c>
    </row>
    <row r="194" spans="1:8" ht="21" x14ac:dyDescent="0.7">
      <c r="A194" s="2">
        <v>193</v>
      </c>
      <c r="B194" s="8" t="s">
        <v>20</v>
      </c>
      <c r="C194" s="10" t="s">
        <v>1674</v>
      </c>
      <c r="D194" s="3"/>
      <c r="E194" s="3">
        <v>1</v>
      </c>
      <c r="F194" s="3">
        <f t="shared" ref="F194:F199" si="29">F193-E194</f>
        <v>111</v>
      </c>
      <c r="G194" s="3">
        <v>5777</v>
      </c>
      <c r="H194" s="5" t="s">
        <v>1675</v>
      </c>
    </row>
    <row r="195" spans="1:8" ht="21" x14ac:dyDescent="0.7">
      <c r="A195" s="2">
        <v>194</v>
      </c>
      <c r="B195" s="8" t="s">
        <v>20</v>
      </c>
      <c r="C195" s="10" t="s">
        <v>1683</v>
      </c>
      <c r="D195" s="3"/>
      <c r="E195" s="3">
        <v>10</v>
      </c>
      <c r="F195" s="3">
        <f t="shared" si="29"/>
        <v>101</v>
      </c>
      <c r="G195" s="3">
        <v>5801</v>
      </c>
      <c r="H195" s="5" t="s">
        <v>43</v>
      </c>
    </row>
    <row r="196" spans="1:8" ht="21" x14ac:dyDescent="0.7">
      <c r="A196" s="2">
        <v>195</v>
      </c>
      <c r="B196" s="8" t="s">
        <v>20</v>
      </c>
      <c r="C196" s="10" t="s">
        <v>1684</v>
      </c>
      <c r="D196" s="3"/>
      <c r="E196" s="3">
        <v>6</v>
      </c>
      <c r="F196" s="3">
        <f t="shared" si="29"/>
        <v>95</v>
      </c>
      <c r="G196" s="3">
        <v>5803</v>
      </c>
      <c r="H196" s="5" t="s">
        <v>1096</v>
      </c>
    </row>
    <row r="197" spans="1:8" ht="21" x14ac:dyDescent="0.7">
      <c r="A197" s="2">
        <v>196</v>
      </c>
      <c r="B197" s="8" t="s">
        <v>20</v>
      </c>
      <c r="C197" s="10" t="s">
        <v>1684</v>
      </c>
      <c r="D197" s="3"/>
      <c r="E197" s="3">
        <v>15</v>
      </c>
      <c r="F197" s="3">
        <f t="shared" si="29"/>
        <v>80</v>
      </c>
      <c r="G197" s="3">
        <v>5804</v>
      </c>
      <c r="H197" s="5" t="s">
        <v>1096</v>
      </c>
    </row>
    <row r="198" spans="1:8" ht="21" x14ac:dyDescent="0.7">
      <c r="A198" s="2">
        <v>197</v>
      </c>
      <c r="B198" s="8" t="s">
        <v>20</v>
      </c>
      <c r="C198" s="10" t="s">
        <v>1684</v>
      </c>
      <c r="D198" s="3"/>
      <c r="E198" s="3">
        <v>3</v>
      </c>
      <c r="F198" s="3">
        <f t="shared" si="29"/>
        <v>77</v>
      </c>
      <c r="G198" s="3">
        <v>5807</v>
      </c>
      <c r="H198" s="5" t="s">
        <v>614</v>
      </c>
    </row>
    <row r="199" spans="1:8" ht="21" x14ac:dyDescent="0.7">
      <c r="A199" s="2">
        <v>198</v>
      </c>
      <c r="B199" s="8" t="s">
        <v>20</v>
      </c>
      <c r="C199" s="10" t="s">
        <v>1689</v>
      </c>
      <c r="D199" s="3"/>
      <c r="E199" s="3">
        <v>2</v>
      </c>
      <c r="F199" s="3">
        <f t="shared" si="29"/>
        <v>75</v>
      </c>
      <c r="G199" s="3" t="s">
        <v>1690</v>
      </c>
      <c r="H199" s="5" t="s">
        <v>55</v>
      </c>
    </row>
    <row r="200" spans="1:8" ht="21" x14ac:dyDescent="0.7">
      <c r="A200" s="2">
        <v>199</v>
      </c>
      <c r="B200" s="8" t="s">
        <v>20</v>
      </c>
      <c r="C200" s="10" t="s">
        <v>1699</v>
      </c>
      <c r="D200" s="3"/>
      <c r="E200" s="3">
        <v>1</v>
      </c>
      <c r="F200" s="3">
        <f>F199-E200</f>
        <v>74</v>
      </c>
      <c r="G200" s="3">
        <v>5830</v>
      </c>
      <c r="H200" s="5" t="s">
        <v>1700</v>
      </c>
    </row>
    <row r="201" spans="1:8" ht="21" x14ac:dyDescent="0.7">
      <c r="A201" s="2">
        <v>200</v>
      </c>
      <c r="B201" s="8" t="s">
        <v>20</v>
      </c>
      <c r="C201" s="10" t="s">
        <v>1705</v>
      </c>
      <c r="D201" s="3"/>
      <c r="E201" s="3">
        <v>2</v>
      </c>
      <c r="F201" s="3">
        <f>F200-E201</f>
        <v>72</v>
      </c>
      <c r="G201" s="3">
        <v>5844</v>
      </c>
      <c r="H201" s="5" t="s">
        <v>1309</v>
      </c>
    </row>
    <row r="202" spans="1:8" ht="21" x14ac:dyDescent="0.7">
      <c r="A202" s="2">
        <v>201</v>
      </c>
      <c r="B202" s="8" t="s">
        <v>20</v>
      </c>
      <c r="C202" s="10" t="s">
        <v>1708</v>
      </c>
      <c r="D202" s="3">
        <v>144</v>
      </c>
      <c r="E202" s="3"/>
      <c r="F202" s="3">
        <f>F201+D202</f>
        <v>216</v>
      </c>
      <c r="G202" s="3"/>
      <c r="H202" s="19" t="s">
        <v>1707</v>
      </c>
    </row>
    <row r="203" spans="1:8" ht="21" x14ac:dyDescent="0.7">
      <c r="A203" s="2">
        <v>202</v>
      </c>
      <c r="B203" s="8" t="s">
        <v>20</v>
      </c>
      <c r="C203" s="10" t="s">
        <v>1744</v>
      </c>
      <c r="D203" s="3"/>
      <c r="E203" s="3">
        <v>1</v>
      </c>
      <c r="F203" s="3">
        <f t="shared" ref="F203:F208" si="30">F202-E203</f>
        <v>215</v>
      </c>
      <c r="G203" s="3">
        <v>5922</v>
      </c>
      <c r="H203" s="5" t="s">
        <v>1745</v>
      </c>
    </row>
    <row r="204" spans="1:8" ht="21" x14ac:dyDescent="0.7">
      <c r="A204" s="2">
        <v>203</v>
      </c>
      <c r="B204" s="8" t="s">
        <v>20</v>
      </c>
      <c r="C204" s="10" t="s">
        <v>1731</v>
      </c>
      <c r="D204" s="3"/>
      <c r="E204" s="3">
        <v>1</v>
      </c>
      <c r="F204" s="3">
        <f t="shared" si="30"/>
        <v>214</v>
      </c>
      <c r="G204" s="3">
        <v>5888</v>
      </c>
      <c r="H204" s="5" t="s">
        <v>1700</v>
      </c>
    </row>
    <row r="205" spans="1:8" ht="21" x14ac:dyDescent="0.7">
      <c r="A205" s="2">
        <v>204</v>
      </c>
      <c r="B205" s="8" t="s">
        <v>20</v>
      </c>
      <c r="C205" s="10" t="s">
        <v>1738</v>
      </c>
      <c r="D205" s="3"/>
      <c r="E205" s="3">
        <v>1</v>
      </c>
      <c r="F205" s="3">
        <f t="shared" si="30"/>
        <v>213</v>
      </c>
      <c r="G205" s="3" t="s">
        <v>1739</v>
      </c>
      <c r="H205" s="5" t="s">
        <v>55</v>
      </c>
    </row>
    <row r="206" spans="1:8" ht="21" x14ac:dyDescent="0.7">
      <c r="A206" s="2">
        <v>205</v>
      </c>
      <c r="B206" s="8" t="s">
        <v>20</v>
      </c>
      <c r="C206" s="10" t="s">
        <v>1746</v>
      </c>
      <c r="D206" s="3"/>
      <c r="E206" s="3">
        <v>1</v>
      </c>
      <c r="F206" s="3">
        <f t="shared" si="30"/>
        <v>212</v>
      </c>
      <c r="G206" s="3" t="s">
        <v>1747</v>
      </c>
      <c r="H206" s="5" t="s">
        <v>55</v>
      </c>
    </row>
    <row r="207" spans="1:8" ht="21" x14ac:dyDescent="0.7">
      <c r="A207" s="2">
        <v>206</v>
      </c>
      <c r="B207" s="8" t="s">
        <v>20</v>
      </c>
      <c r="C207" s="10" t="s">
        <v>1757</v>
      </c>
      <c r="D207" s="3"/>
      <c r="E207" s="3">
        <v>3</v>
      </c>
      <c r="F207" s="3">
        <f t="shared" si="30"/>
        <v>209</v>
      </c>
      <c r="G207" s="3" t="s">
        <v>1759</v>
      </c>
      <c r="H207" s="5" t="s">
        <v>55</v>
      </c>
    </row>
    <row r="208" spans="1:8" ht="21" x14ac:dyDescent="0.7">
      <c r="A208" s="2">
        <v>207</v>
      </c>
      <c r="B208" s="8" t="s">
        <v>20</v>
      </c>
      <c r="C208" s="10" t="s">
        <v>1755</v>
      </c>
      <c r="D208" s="3"/>
      <c r="E208" s="3">
        <v>5</v>
      </c>
      <c r="F208" s="3">
        <f t="shared" si="30"/>
        <v>204</v>
      </c>
      <c r="G208" s="3">
        <v>5946</v>
      </c>
      <c r="H208" s="5" t="s">
        <v>61</v>
      </c>
    </row>
    <row r="209" spans="1:8" ht="21" x14ac:dyDescent="0.7">
      <c r="A209" s="2">
        <v>208</v>
      </c>
      <c r="B209" s="8" t="s">
        <v>20</v>
      </c>
      <c r="C209" s="10" t="s">
        <v>1760</v>
      </c>
      <c r="D209" s="3"/>
      <c r="E209" s="3">
        <v>1</v>
      </c>
      <c r="F209" s="3">
        <f t="shared" ref="F209:F214" si="31">F208-E209</f>
        <v>203</v>
      </c>
      <c r="G209" s="3" t="s">
        <v>1761</v>
      </c>
      <c r="H209" s="5" t="s">
        <v>55</v>
      </c>
    </row>
    <row r="210" spans="1:8" ht="21" x14ac:dyDescent="0.7">
      <c r="A210" s="2">
        <v>209</v>
      </c>
      <c r="B210" s="8" t="s">
        <v>20</v>
      </c>
      <c r="C210" s="10" t="s">
        <v>1765</v>
      </c>
      <c r="D210" s="3"/>
      <c r="E210" s="3">
        <v>5</v>
      </c>
      <c r="F210" s="3">
        <f t="shared" si="31"/>
        <v>198</v>
      </c>
      <c r="G210" s="3">
        <v>5964</v>
      </c>
      <c r="H210" s="5" t="s">
        <v>1673</v>
      </c>
    </row>
    <row r="211" spans="1:8" ht="21" x14ac:dyDescent="0.7">
      <c r="A211" s="2">
        <v>210</v>
      </c>
      <c r="B211" s="8" t="s">
        <v>20</v>
      </c>
      <c r="C211" s="10" t="s">
        <v>1765</v>
      </c>
      <c r="D211" s="3"/>
      <c r="E211" s="3">
        <v>20</v>
      </c>
      <c r="F211" s="3">
        <f t="shared" si="31"/>
        <v>178</v>
      </c>
      <c r="G211" s="3">
        <v>5965</v>
      </c>
      <c r="H211" s="5" t="s">
        <v>400</v>
      </c>
    </row>
    <row r="212" spans="1:8" ht="21" x14ac:dyDescent="0.7">
      <c r="A212" s="2">
        <v>211</v>
      </c>
      <c r="B212" s="8" t="s">
        <v>20</v>
      </c>
      <c r="C212" s="10" t="s">
        <v>1775</v>
      </c>
      <c r="D212" s="3"/>
      <c r="E212" s="3">
        <v>6</v>
      </c>
      <c r="F212" s="3">
        <f t="shared" si="31"/>
        <v>172</v>
      </c>
      <c r="G212" s="3" t="s">
        <v>1776</v>
      </c>
      <c r="H212" s="5" t="s">
        <v>55</v>
      </c>
    </row>
    <row r="213" spans="1:8" ht="21" x14ac:dyDescent="0.7">
      <c r="A213" s="2">
        <v>212</v>
      </c>
      <c r="B213" s="8" t="s">
        <v>20</v>
      </c>
      <c r="C213" s="10" t="s">
        <v>1777</v>
      </c>
      <c r="D213" s="3"/>
      <c r="E213" s="3">
        <v>10</v>
      </c>
      <c r="F213" s="3">
        <f t="shared" si="31"/>
        <v>162</v>
      </c>
      <c r="G213" s="3" t="s">
        <v>1778</v>
      </c>
      <c r="H213" s="5" t="s">
        <v>55</v>
      </c>
    </row>
    <row r="214" spans="1:8" ht="21" x14ac:dyDescent="0.7">
      <c r="A214" s="2">
        <v>213</v>
      </c>
      <c r="B214" s="8" t="s">
        <v>20</v>
      </c>
      <c r="C214" s="10" t="s">
        <v>1787</v>
      </c>
      <c r="D214" s="3"/>
      <c r="E214" s="3">
        <v>4</v>
      </c>
      <c r="F214" s="3">
        <f t="shared" si="31"/>
        <v>158</v>
      </c>
      <c r="G214" s="3">
        <v>5997</v>
      </c>
      <c r="H214" s="5" t="s">
        <v>61</v>
      </c>
    </row>
    <row r="215" spans="1:8" ht="21" x14ac:dyDescent="0.7">
      <c r="A215" s="2">
        <v>214</v>
      </c>
      <c r="B215" s="8" t="s">
        <v>20</v>
      </c>
      <c r="C215" s="10" t="s">
        <v>1792</v>
      </c>
      <c r="D215" s="3"/>
      <c r="E215" s="3">
        <v>2</v>
      </c>
      <c r="F215" s="3">
        <f t="shared" ref="F215:F220" si="32">F214-E215</f>
        <v>156</v>
      </c>
      <c r="G215" s="3">
        <v>6014</v>
      </c>
      <c r="H215" s="5" t="s">
        <v>1309</v>
      </c>
    </row>
    <row r="216" spans="1:8" ht="21" x14ac:dyDescent="0.7">
      <c r="A216" s="2">
        <v>215</v>
      </c>
      <c r="B216" s="8" t="s">
        <v>20</v>
      </c>
      <c r="C216" s="10" t="s">
        <v>1795</v>
      </c>
      <c r="D216" s="3"/>
      <c r="E216" s="3">
        <v>1</v>
      </c>
      <c r="F216" s="3">
        <f t="shared" si="32"/>
        <v>155</v>
      </c>
      <c r="G216" s="3" t="s">
        <v>1796</v>
      </c>
      <c r="H216" s="5" t="s">
        <v>55</v>
      </c>
    </row>
    <row r="217" spans="1:8" ht="21" x14ac:dyDescent="0.7">
      <c r="A217" s="2">
        <v>216</v>
      </c>
      <c r="B217" s="8" t="s">
        <v>20</v>
      </c>
      <c r="C217" s="10" t="s">
        <v>1799</v>
      </c>
      <c r="D217" s="3"/>
      <c r="E217" s="3">
        <v>1</v>
      </c>
      <c r="F217" s="3">
        <f t="shared" si="32"/>
        <v>154</v>
      </c>
      <c r="G217" s="3" t="s">
        <v>1800</v>
      </c>
      <c r="H217" s="5" t="s">
        <v>55</v>
      </c>
    </row>
    <row r="218" spans="1:8" ht="21" x14ac:dyDescent="0.7">
      <c r="A218" s="2">
        <v>217</v>
      </c>
      <c r="B218" s="8" t="s">
        <v>20</v>
      </c>
      <c r="C218" s="10" t="s">
        <v>1802</v>
      </c>
      <c r="D218" s="3"/>
      <c r="E218" s="3">
        <v>4</v>
      </c>
      <c r="F218" s="3">
        <f t="shared" si="32"/>
        <v>150</v>
      </c>
      <c r="G218" s="3" t="s">
        <v>1803</v>
      </c>
      <c r="H218" s="5" t="s">
        <v>55</v>
      </c>
    </row>
    <row r="219" spans="1:8" ht="21" x14ac:dyDescent="0.7">
      <c r="A219" s="2">
        <v>218</v>
      </c>
      <c r="B219" s="8" t="s">
        <v>20</v>
      </c>
      <c r="C219" s="10" t="s">
        <v>1804</v>
      </c>
      <c r="D219" s="3"/>
      <c r="E219" s="3">
        <v>3</v>
      </c>
      <c r="F219" s="3">
        <f t="shared" si="32"/>
        <v>147</v>
      </c>
      <c r="G219" s="3">
        <v>6032</v>
      </c>
      <c r="H219" s="5" t="s">
        <v>1805</v>
      </c>
    </row>
    <row r="220" spans="1:8" ht="21" x14ac:dyDescent="0.7">
      <c r="A220" s="2">
        <v>219</v>
      </c>
      <c r="B220" s="8" t="s">
        <v>20</v>
      </c>
      <c r="C220" s="10" t="s">
        <v>1830</v>
      </c>
      <c r="D220" s="3"/>
      <c r="E220" s="3">
        <v>1</v>
      </c>
      <c r="F220" s="3">
        <f t="shared" si="32"/>
        <v>146</v>
      </c>
      <c r="G220" s="3" t="s">
        <v>1831</v>
      </c>
      <c r="H220" s="5" t="s">
        <v>55</v>
      </c>
    </row>
    <row r="221" spans="1:8" ht="21" x14ac:dyDescent="0.7">
      <c r="A221" s="2">
        <v>220</v>
      </c>
      <c r="B221" s="8" t="s">
        <v>20</v>
      </c>
      <c r="C221" s="10" t="s">
        <v>1837</v>
      </c>
      <c r="D221" s="3"/>
      <c r="E221" s="3">
        <v>10</v>
      </c>
      <c r="F221" s="3">
        <f t="shared" ref="F221:F226" si="33">F220-E221</f>
        <v>136</v>
      </c>
      <c r="G221" s="3">
        <v>6070</v>
      </c>
      <c r="H221" s="5" t="s">
        <v>1545</v>
      </c>
    </row>
    <row r="222" spans="1:8" ht="21" x14ac:dyDescent="0.7">
      <c r="A222" s="2">
        <v>221</v>
      </c>
      <c r="B222" s="8" t="s">
        <v>20</v>
      </c>
      <c r="C222" s="10" t="s">
        <v>1838</v>
      </c>
      <c r="D222" s="3"/>
      <c r="E222" s="3">
        <v>1</v>
      </c>
      <c r="F222" s="3">
        <f t="shared" si="33"/>
        <v>135</v>
      </c>
      <c r="G222" s="3" t="s">
        <v>1839</v>
      </c>
      <c r="H222" s="5" t="s">
        <v>55</v>
      </c>
    </row>
    <row r="223" spans="1:8" ht="21" x14ac:dyDescent="0.7">
      <c r="A223" s="2">
        <v>222</v>
      </c>
      <c r="B223" s="8" t="s">
        <v>20</v>
      </c>
      <c r="C223" s="10" t="s">
        <v>1846</v>
      </c>
      <c r="D223" s="3"/>
      <c r="E223" s="3">
        <v>1</v>
      </c>
      <c r="F223" s="3">
        <f t="shared" si="33"/>
        <v>134</v>
      </c>
      <c r="G223" s="3" t="s">
        <v>1847</v>
      </c>
      <c r="H223" s="5" t="s">
        <v>55</v>
      </c>
    </row>
    <row r="224" spans="1:8" ht="21" x14ac:dyDescent="0.7">
      <c r="A224" s="2">
        <v>223</v>
      </c>
      <c r="B224" s="8" t="s">
        <v>20</v>
      </c>
      <c r="C224" s="10" t="s">
        <v>1855</v>
      </c>
      <c r="D224" s="3"/>
      <c r="E224" s="3">
        <v>2</v>
      </c>
      <c r="F224" s="3">
        <f t="shared" si="33"/>
        <v>132</v>
      </c>
      <c r="G224" s="3" t="s">
        <v>1858</v>
      </c>
      <c r="H224" s="5" t="s">
        <v>55</v>
      </c>
    </row>
    <row r="225" spans="1:8" ht="21" x14ac:dyDescent="0.7">
      <c r="A225" s="2">
        <v>224</v>
      </c>
      <c r="B225" s="8" t="s">
        <v>20</v>
      </c>
      <c r="C225" s="10" t="s">
        <v>1872</v>
      </c>
      <c r="D225" s="3"/>
      <c r="E225" s="3">
        <v>1</v>
      </c>
      <c r="F225" s="3">
        <f t="shared" si="33"/>
        <v>131</v>
      </c>
      <c r="G225" s="3">
        <v>6094</v>
      </c>
      <c r="H225" s="5" t="s">
        <v>646</v>
      </c>
    </row>
    <row r="226" spans="1:8" ht="21" x14ac:dyDescent="0.7">
      <c r="A226" s="2">
        <v>225</v>
      </c>
      <c r="B226" s="8" t="s">
        <v>20</v>
      </c>
      <c r="C226" s="10" t="s">
        <v>1894</v>
      </c>
      <c r="D226" s="3"/>
      <c r="E226" s="3">
        <v>1</v>
      </c>
      <c r="F226" s="3">
        <f t="shared" si="33"/>
        <v>130</v>
      </c>
      <c r="G226" s="3">
        <v>6132</v>
      </c>
      <c r="H226" s="5" t="s">
        <v>1352</v>
      </c>
    </row>
    <row r="227" spans="1:8" ht="21" x14ac:dyDescent="0.7">
      <c r="A227" s="2">
        <v>226</v>
      </c>
      <c r="B227" s="8" t="s">
        <v>20</v>
      </c>
      <c r="C227" s="10" t="s">
        <v>1897</v>
      </c>
      <c r="D227" s="3"/>
      <c r="E227" s="3">
        <v>4</v>
      </c>
      <c r="F227" s="3">
        <f t="shared" ref="F227:F232" si="34">F226-E227</f>
        <v>126</v>
      </c>
      <c r="G227" s="3">
        <v>6158</v>
      </c>
      <c r="H227" s="5" t="s">
        <v>614</v>
      </c>
    </row>
    <row r="228" spans="1:8" ht="21" x14ac:dyDescent="0.7">
      <c r="A228" s="2">
        <v>227</v>
      </c>
      <c r="B228" s="8" t="s">
        <v>20</v>
      </c>
      <c r="C228" s="10" t="s">
        <v>1908</v>
      </c>
      <c r="D228" s="3"/>
      <c r="E228" s="3">
        <v>1</v>
      </c>
      <c r="F228" s="3">
        <f t="shared" si="34"/>
        <v>125</v>
      </c>
      <c r="G228" s="3" t="s">
        <v>1909</v>
      </c>
      <c r="H228" s="5" t="s">
        <v>55</v>
      </c>
    </row>
    <row r="229" spans="1:8" ht="21" x14ac:dyDescent="0.7">
      <c r="A229" s="2">
        <v>228</v>
      </c>
      <c r="B229" s="8" t="s">
        <v>20</v>
      </c>
      <c r="C229" s="10" t="s">
        <v>1911</v>
      </c>
      <c r="D229" s="3"/>
      <c r="E229" s="3">
        <v>1</v>
      </c>
      <c r="F229" s="3">
        <f t="shared" si="34"/>
        <v>124</v>
      </c>
      <c r="G229" s="3" t="s">
        <v>1912</v>
      </c>
      <c r="H229" s="5" t="s">
        <v>55</v>
      </c>
    </row>
    <row r="230" spans="1:8" ht="21" x14ac:dyDescent="0.7">
      <c r="A230" s="2">
        <v>229</v>
      </c>
      <c r="B230" s="8" t="s">
        <v>20</v>
      </c>
      <c r="C230" s="10" t="s">
        <v>1913</v>
      </c>
      <c r="D230" s="3"/>
      <c r="E230" s="3">
        <v>10</v>
      </c>
      <c r="F230" s="3">
        <f t="shared" si="34"/>
        <v>114</v>
      </c>
      <c r="G230" s="3">
        <v>6199</v>
      </c>
      <c r="H230" s="5" t="s">
        <v>61</v>
      </c>
    </row>
    <row r="231" spans="1:8" ht="21" x14ac:dyDescent="0.7">
      <c r="A231" s="2">
        <v>230</v>
      </c>
      <c r="B231" s="8" t="s">
        <v>20</v>
      </c>
      <c r="C231" s="10" t="s">
        <v>1915</v>
      </c>
      <c r="D231" s="3"/>
      <c r="E231" s="3">
        <v>2</v>
      </c>
      <c r="F231" s="3">
        <f t="shared" si="34"/>
        <v>112</v>
      </c>
      <c r="G231" s="3">
        <v>6203</v>
      </c>
      <c r="H231" s="5" t="s">
        <v>614</v>
      </c>
    </row>
    <row r="232" spans="1:8" ht="21" x14ac:dyDescent="0.7">
      <c r="A232" s="2">
        <v>231</v>
      </c>
      <c r="B232" s="8" t="s">
        <v>20</v>
      </c>
      <c r="C232" s="10" t="s">
        <v>1941</v>
      </c>
      <c r="D232" s="3"/>
      <c r="E232" s="3">
        <v>1</v>
      </c>
      <c r="F232" s="3">
        <f t="shared" si="34"/>
        <v>111</v>
      </c>
      <c r="G232" s="3" t="s">
        <v>1942</v>
      </c>
      <c r="H232" s="5" t="s">
        <v>55</v>
      </c>
    </row>
    <row r="233" spans="1:8" ht="21" x14ac:dyDescent="0.7">
      <c r="A233" s="2">
        <v>232</v>
      </c>
      <c r="B233" s="8" t="s">
        <v>20</v>
      </c>
      <c r="C233" s="10" t="s">
        <v>1945</v>
      </c>
      <c r="D233" s="3"/>
      <c r="E233" s="3">
        <v>15</v>
      </c>
      <c r="F233" s="3">
        <f t="shared" ref="F233:F238" si="35">F232-E233</f>
        <v>96</v>
      </c>
      <c r="G233" s="3">
        <v>6239</v>
      </c>
      <c r="H233" s="5" t="s">
        <v>1545</v>
      </c>
    </row>
    <row r="234" spans="1:8" ht="20.25" customHeight="1" x14ac:dyDescent="0.3">
      <c r="A234" s="2"/>
      <c r="B234" s="8" t="s">
        <v>20</v>
      </c>
      <c r="C234" s="10"/>
      <c r="D234" s="3"/>
      <c r="E234" s="3">
        <v>6</v>
      </c>
      <c r="F234" s="3">
        <f t="shared" si="35"/>
        <v>90</v>
      </c>
      <c r="G234" s="48" t="s">
        <v>1949</v>
      </c>
      <c r="H234" s="49"/>
    </row>
    <row r="235" spans="1:8" ht="21" x14ac:dyDescent="0.7">
      <c r="A235" s="2">
        <v>233</v>
      </c>
      <c r="B235" s="8" t="s">
        <v>20</v>
      </c>
      <c r="C235" s="10" t="s">
        <v>1967</v>
      </c>
      <c r="D235" s="3"/>
      <c r="E235" s="3">
        <v>1</v>
      </c>
      <c r="F235" s="3">
        <f t="shared" si="35"/>
        <v>89</v>
      </c>
      <c r="G235" s="3">
        <v>6252</v>
      </c>
      <c r="H235" s="5" t="s">
        <v>1971</v>
      </c>
    </row>
    <row r="236" spans="1:8" ht="21" x14ac:dyDescent="0.7">
      <c r="A236" s="2">
        <v>234</v>
      </c>
      <c r="B236" s="8" t="s">
        <v>20</v>
      </c>
      <c r="C236" s="10" t="s">
        <v>1977</v>
      </c>
      <c r="D236" s="3"/>
      <c r="E236" s="3">
        <v>2</v>
      </c>
      <c r="F236" s="3">
        <f t="shared" si="35"/>
        <v>87</v>
      </c>
      <c r="G236" s="3" t="s">
        <v>1978</v>
      </c>
      <c r="H236" s="5" t="s">
        <v>55</v>
      </c>
    </row>
    <row r="237" spans="1:8" ht="21" x14ac:dyDescent="0.7">
      <c r="A237" s="2">
        <v>235</v>
      </c>
      <c r="B237" s="8" t="s">
        <v>20</v>
      </c>
      <c r="C237" s="10" t="s">
        <v>1984</v>
      </c>
      <c r="D237" s="3"/>
      <c r="E237" s="3">
        <v>1</v>
      </c>
      <c r="F237" s="3">
        <f t="shared" si="35"/>
        <v>86</v>
      </c>
      <c r="G237" s="3" t="s">
        <v>1985</v>
      </c>
      <c r="H237" s="5" t="s">
        <v>1986</v>
      </c>
    </row>
    <row r="238" spans="1:8" ht="21" x14ac:dyDescent="0.7">
      <c r="A238" s="2">
        <v>236</v>
      </c>
      <c r="B238" s="8" t="s">
        <v>20</v>
      </c>
      <c r="C238" s="10" t="s">
        <v>1994</v>
      </c>
      <c r="D238" s="3"/>
      <c r="E238" s="3">
        <v>2</v>
      </c>
      <c r="F238" s="3">
        <f t="shared" si="35"/>
        <v>84</v>
      </c>
      <c r="G238" s="3" t="s">
        <v>1996</v>
      </c>
      <c r="H238" s="5" t="s">
        <v>49</v>
      </c>
    </row>
    <row r="239" spans="1:8" ht="21" x14ac:dyDescent="0.7">
      <c r="A239" s="2">
        <v>237</v>
      </c>
      <c r="B239" s="8" t="s">
        <v>20</v>
      </c>
      <c r="C239" s="10" t="s">
        <v>2001</v>
      </c>
      <c r="D239" s="3"/>
      <c r="E239" s="3">
        <v>4</v>
      </c>
      <c r="F239" s="3">
        <f t="shared" ref="F239:F244" si="36">F238-E239</f>
        <v>80</v>
      </c>
      <c r="G239" s="3">
        <v>6259</v>
      </c>
      <c r="H239" s="5" t="s">
        <v>61</v>
      </c>
    </row>
    <row r="240" spans="1:8" ht="21" x14ac:dyDescent="0.7">
      <c r="A240" s="2">
        <v>238</v>
      </c>
      <c r="B240" s="8" t="s">
        <v>20</v>
      </c>
      <c r="C240" s="10" t="s">
        <v>2002</v>
      </c>
      <c r="D240" s="3"/>
      <c r="E240" s="3">
        <v>10</v>
      </c>
      <c r="F240" s="3">
        <f t="shared" si="36"/>
        <v>70</v>
      </c>
      <c r="G240" s="3">
        <v>6273</v>
      </c>
      <c r="H240" s="5" t="s">
        <v>2004</v>
      </c>
    </row>
    <row r="241" spans="1:8" ht="21" x14ac:dyDescent="0.7">
      <c r="A241" s="2">
        <v>239</v>
      </c>
      <c r="B241" s="8" t="s">
        <v>20</v>
      </c>
      <c r="C241" s="10" t="s">
        <v>2002</v>
      </c>
      <c r="D241" s="3"/>
      <c r="E241" s="3">
        <v>1</v>
      </c>
      <c r="F241" s="3">
        <f t="shared" si="36"/>
        <v>69</v>
      </c>
      <c r="G241" s="3">
        <v>6274</v>
      </c>
      <c r="H241" s="5" t="s">
        <v>1745</v>
      </c>
    </row>
    <row r="242" spans="1:8" ht="21" x14ac:dyDescent="0.7">
      <c r="A242" s="2">
        <v>240</v>
      </c>
      <c r="B242" s="8" t="s">
        <v>20</v>
      </c>
      <c r="C242" s="10" t="s">
        <v>2008</v>
      </c>
      <c r="D242" s="3"/>
      <c r="E242" s="3">
        <v>2</v>
      </c>
      <c r="F242" s="3">
        <f t="shared" si="36"/>
        <v>67</v>
      </c>
      <c r="G242" s="3" t="s">
        <v>2009</v>
      </c>
      <c r="H242" s="5" t="s">
        <v>55</v>
      </c>
    </row>
    <row r="243" spans="1:8" ht="21" x14ac:dyDescent="0.7">
      <c r="A243" s="2">
        <v>241</v>
      </c>
      <c r="B243" s="8" t="s">
        <v>20</v>
      </c>
      <c r="C243" s="10" t="s">
        <v>2012</v>
      </c>
      <c r="D243" s="3"/>
      <c r="E243" s="3">
        <v>1</v>
      </c>
      <c r="F243" s="3">
        <f t="shared" si="36"/>
        <v>66</v>
      </c>
      <c r="G243" s="3" t="s">
        <v>2013</v>
      </c>
      <c r="H243" s="5" t="s">
        <v>55</v>
      </c>
    </row>
    <row r="244" spans="1:8" ht="21" x14ac:dyDescent="0.7">
      <c r="A244" s="2">
        <v>242</v>
      </c>
      <c r="B244" s="8" t="s">
        <v>20</v>
      </c>
      <c r="C244" s="10" t="s">
        <v>2016</v>
      </c>
      <c r="D244" s="3"/>
      <c r="E244" s="3">
        <v>4</v>
      </c>
      <c r="F244" s="3">
        <f t="shared" si="36"/>
        <v>62</v>
      </c>
      <c r="G244" s="3">
        <v>6287</v>
      </c>
      <c r="H244" s="5" t="s">
        <v>2017</v>
      </c>
    </row>
    <row r="245" spans="1:8" ht="21" x14ac:dyDescent="0.7">
      <c r="A245" s="2">
        <v>243</v>
      </c>
      <c r="B245" s="8" t="s">
        <v>20</v>
      </c>
      <c r="C245" s="10" t="s">
        <v>2021</v>
      </c>
      <c r="D245" s="3"/>
      <c r="E245" s="3">
        <v>1</v>
      </c>
      <c r="F245" s="3">
        <f t="shared" ref="F245:F250" si="37">F244-E245</f>
        <v>61</v>
      </c>
      <c r="G245" s="3" t="s">
        <v>2024</v>
      </c>
      <c r="H245" s="5" t="s">
        <v>55</v>
      </c>
    </row>
    <row r="246" spans="1:8" ht="21" x14ac:dyDescent="0.7">
      <c r="A246" s="2">
        <v>244</v>
      </c>
      <c r="B246" s="8" t="s">
        <v>20</v>
      </c>
      <c r="C246" s="10" t="s">
        <v>2026</v>
      </c>
      <c r="D246" s="3"/>
      <c r="E246" s="3">
        <v>4</v>
      </c>
      <c r="F246" s="3">
        <f t="shared" si="37"/>
        <v>57</v>
      </c>
      <c r="G246" s="3">
        <v>6290</v>
      </c>
      <c r="H246" s="5" t="s">
        <v>61</v>
      </c>
    </row>
    <row r="247" spans="1:8" ht="21" x14ac:dyDescent="0.7">
      <c r="A247" s="2">
        <v>245</v>
      </c>
      <c r="B247" s="8" t="s">
        <v>20</v>
      </c>
      <c r="C247" s="10" t="s">
        <v>2037</v>
      </c>
      <c r="D247" s="3"/>
      <c r="E247" s="3">
        <v>1</v>
      </c>
      <c r="F247" s="3">
        <f t="shared" si="37"/>
        <v>56</v>
      </c>
      <c r="G247" s="3">
        <v>6308</v>
      </c>
      <c r="H247" s="5" t="s">
        <v>614</v>
      </c>
    </row>
    <row r="248" spans="1:8" ht="21" x14ac:dyDescent="0.7">
      <c r="A248" s="2">
        <v>246</v>
      </c>
      <c r="B248" s="8" t="s">
        <v>20</v>
      </c>
      <c r="C248" s="10" t="s">
        <v>2049</v>
      </c>
      <c r="D248" s="3"/>
      <c r="E248" s="3">
        <v>2</v>
      </c>
      <c r="F248" s="3">
        <f t="shared" si="37"/>
        <v>54</v>
      </c>
      <c r="G248" s="3">
        <v>6315</v>
      </c>
      <c r="H248" s="5" t="s">
        <v>1309</v>
      </c>
    </row>
    <row r="249" spans="1:8" ht="21" x14ac:dyDescent="0.7">
      <c r="A249" s="2">
        <v>247</v>
      </c>
      <c r="B249" s="8" t="s">
        <v>20</v>
      </c>
      <c r="C249" s="10" t="s">
        <v>2053</v>
      </c>
      <c r="D249" s="3"/>
      <c r="E249" s="3">
        <v>1</v>
      </c>
      <c r="F249" s="3">
        <f t="shared" si="37"/>
        <v>53</v>
      </c>
      <c r="G249" s="3" t="s">
        <v>2054</v>
      </c>
      <c r="H249" s="5" t="s">
        <v>55</v>
      </c>
    </row>
    <row r="250" spans="1:8" ht="21" x14ac:dyDescent="0.7">
      <c r="A250" s="2">
        <v>248</v>
      </c>
      <c r="B250" s="8" t="s">
        <v>20</v>
      </c>
      <c r="C250" s="10" t="s">
        <v>2060</v>
      </c>
      <c r="D250" s="3"/>
      <c r="E250" s="3">
        <v>1</v>
      </c>
      <c r="F250" s="3">
        <f t="shared" si="37"/>
        <v>52</v>
      </c>
      <c r="G250" s="3" t="s">
        <v>2061</v>
      </c>
      <c r="H250" s="5" t="s">
        <v>55</v>
      </c>
    </row>
    <row r="251" spans="1:8" ht="21" x14ac:dyDescent="0.7">
      <c r="A251" s="2">
        <v>249</v>
      </c>
      <c r="B251" s="8" t="s">
        <v>20</v>
      </c>
      <c r="C251" s="10" t="s">
        <v>2063</v>
      </c>
      <c r="D251" s="3"/>
      <c r="E251" s="3">
        <v>10</v>
      </c>
      <c r="F251" s="3">
        <f>F250-E251</f>
        <v>42</v>
      </c>
      <c r="G251" s="3">
        <v>6326</v>
      </c>
      <c r="H251" s="5" t="s">
        <v>1545</v>
      </c>
    </row>
    <row r="252" spans="1:8" ht="21" x14ac:dyDescent="0.7">
      <c r="A252" s="2">
        <v>250</v>
      </c>
      <c r="B252" s="8" t="s">
        <v>20</v>
      </c>
      <c r="C252" s="10" t="s">
        <v>2072</v>
      </c>
      <c r="D252" s="3"/>
      <c r="E252" s="3">
        <v>40</v>
      </c>
      <c r="F252" s="3">
        <f>F251-E252</f>
        <v>2</v>
      </c>
      <c r="G252" s="3">
        <v>6338</v>
      </c>
      <c r="H252" s="5" t="s">
        <v>1673</v>
      </c>
    </row>
    <row r="253" spans="1:8" ht="21" x14ac:dyDescent="0.7">
      <c r="A253" s="2">
        <v>251</v>
      </c>
      <c r="B253" s="8" t="s">
        <v>20</v>
      </c>
      <c r="C253" s="10" t="s">
        <v>2080</v>
      </c>
      <c r="D253" s="3">
        <v>24</v>
      </c>
      <c r="E253" s="3"/>
      <c r="F253" s="3">
        <f>F252+D253</f>
        <v>26</v>
      </c>
      <c r="G253" s="3"/>
      <c r="H253" s="19" t="s">
        <v>2081</v>
      </c>
    </row>
    <row r="254" spans="1:8" ht="21" x14ac:dyDescent="0.7">
      <c r="A254" s="2">
        <v>252</v>
      </c>
      <c r="B254" s="8" t="s">
        <v>20</v>
      </c>
      <c r="C254" s="10" t="s">
        <v>2094</v>
      </c>
      <c r="D254" s="3"/>
      <c r="E254" s="3">
        <v>1</v>
      </c>
      <c r="F254" s="3">
        <f t="shared" ref="F254:F259" si="38">F253-E254</f>
        <v>25</v>
      </c>
      <c r="G254" s="3">
        <v>6354</v>
      </c>
      <c r="H254" s="5" t="s">
        <v>780</v>
      </c>
    </row>
    <row r="255" spans="1:8" ht="21" x14ac:dyDescent="0.7">
      <c r="A255" s="2">
        <v>253</v>
      </c>
      <c r="B255" s="8" t="s">
        <v>20</v>
      </c>
      <c r="C255" s="10" t="s">
        <v>2113</v>
      </c>
      <c r="D255" s="3"/>
      <c r="E255" s="3">
        <v>1</v>
      </c>
      <c r="F255" s="3">
        <f t="shared" si="38"/>
        <v>24</v>
      </c>
      <c r="G255" s="3" t="s">
        <v>2114</v>
      </c>
      <c r="H255" s="5" t="s">
        <v>55</v>
      </c>
    </row>
    <row r="256" spans="1:8" ht="21" x14ac:dyDescent="0.7">
      <c r="A256" s="2">
        <v>254</v>
      </c>
      <c r="B256" s="8" t="s">
        <v>20</v>
      </c>
      <c r="C256" s="10" t="s">
        <v>2125</v>
      </c>
      <c r="D256" s="3"/>
      <c r="E256" s="3">
        <v>1</v>
      </c>
      <c r="F256" s="3">
        <f t="shared" si="38"/>
        <v>23</v>
      </c>
      <c r="G256" s="3" t="s">
        <v>2127</v>
      </c>
      <c r="H256" s="5" t="s">
        <v>55</v>
      </c>
    </row>
    <row r="257" spans="1:8" ht="21" x14ac:dyDescent="0.7">
      <c r="A257" s="2">
        <v>255</v>
      </c>
      <c r="B257" s="8" t="s">
        <v>20</v>
      </c>
      <c r="C257" s="10" t="s">
        <v>2125</v>
      </c>
      <c r="D257" s="3"/>
      <c r="E257" s="3">
        <v>1</v>
      </c>
      <c r="F257" s="3">
        <f t="shared" si="38"/>
        <v>22</v>
      </c>
      <c r="G257" s="3" t="s">
        <v>2128</v>
      </c>
      <c r="H257" s="5" t="s">
        <v>55</v>
      </c>
    </row>
    <row r="258" spans="1:8" ht="21" x14ac:dyDescent="0.7">
      <c r="A258" s="2">
        <v>256</v>
      </c>
      <c r="B258" s="8" t="s">
        <v>20</v>
      </c>
      <c r="C258" s="10" t="s">
        <v>2136</v>
      </c>
      <c r="D258" s="3"/>
      <c r="E258" s="3">
        <v>2</v>
      </c>
      <c r="F258" s="3">
        <f t="shared" si="38"/>
        <v>20</v>
      </c>
      <c r="G258" s="3" t="s">
        <v>2137</v>
      </c>
      <c r="H258" s="5" t="s">
        <v>55</v>
      </c>
    </row>
    <row r="259" spans="1:8" ht="21" x14ac:dyDescent="0.7">
      <c r="A259" s="2">
        <v>257</v>
      </c>
      <c r="B259" s="8" t="s">
        <v>20</v>
      </c>
      <c r="C259" s="10" t="s">
        <v>2138</v>
      </c>
      <c r="D259" s="3"/>
      <c r="E259" s="3">
        <v>2</v>
      </c>
      <c r="F259" s="3">
        <f t="shared" si="38"/>
        <v>18</v>
      </c>
      <c r="G259" s="3" t="s">
        <v>2139</v>
      </c>
      <c r="H259" s="5" t="s">
        <v>55</v>
      </c>
    </row>
    <row r="260" spans="1:8" ht="21" x14ac:dyDescent="0.7">
      <c r="A260" s="2">
        <v>258</v>
      </c>
      <c r="B260" s="8" t="s">
        <v>20</v>
      </c>
      <c r="C260" s="10" t="s">
        <v>2142</v>
      </c>
      <c r="D260" s="3"/>
      <c r="E260" s="3">
        <v>10</v>
      </c>
      <c r="F260" s="3">
        <f>F259-E260</f>
        <v>8</v>
      </c>
      <c r="G260" s="3">
        <v>6434</v>
      </c>
      <c r="H260" s="5" t="s">
        <v>1545</v>
      </c>
    </row>
    <row r="261" spans="1:8" ht="21" x14ac:dyDescent="0.7">
      <c r="A261" s="2">
        <v>259</v>
      </c>
      <c r="B261" s="8" t="s">
        <v>20</v>
      </c>
      <c r="C261" s="10" t="s">
        <v>2143</v>
      </c>
      <c r="D261" s="3"/>
      <c r="E261" s="3">
        <v>1</v>
      </c>
      <c r="F261" s="3">
        <f>F260-E261</f>
        <v>7</v>
      </c>
      <c r="G261" s="3" t="s">
        <v>2144</v>
      </c>
      <c r="H261" s="5" t="s">
        <v>55</v>
      </c>
    </row>
    <row r="262" spans="1:8" ht="21" x14ac:dyDescent="0.7">
      <c r="A262" s="2">
        <v>260</v>
      </c>
      <c r="B262" s="8" t="s">
        <v>20</v>
      </c>
      <c r="C262" s="10" t="s">
        <v>2171</v>
      </c>
      <c r="D262" s="3"/>
      <c r="E262" s="3">
        <v>3</v>
      </c>
      <c r="F262" s="3">
        <f>F261-E262</f>
        <v>4</v>
      </c>
      <c r="G262" s="3" t="s">
        <v>2174</v>
      </c>
      <c r="H262" s="5" t="s">
        <v>2173</v>
      </c>
    </row>
    <row r="263" spans="1:8" ht="21" x14ac:dyDescent="0.7">
      <c r="A263" s="2">
        <v>261</v>
      </c>
      <c r="B263" s="8" t="s">
        <v>20</v>
      </c>
      <c r="C263" s="10" t="s">
        <v>2183</v>
      </c>
      <c r="D263" s="3"/>
      <c r="E263" s="3">
        <v>4</v>
      </c>
      <c r="F263" s="3">
        <f>F262-E263</f>
        <v>0</v>
      </c>
      <c r="G263" s="3">
        <v>6497</v>
      </c>
      <c r="H263" s="5" t="s">
        <v>1096</v>
      </c>
    </row>
    <row r="264" spans="1:8" ht="21" x14ac:dyDescent="0.7">
      <c r="A264" s="2">
        <v>262</v>
      </c>
      <c r="B264" s="8" t="s">
        <v>20</v>
      </c>
      <c r="C264" s="10" t="s">
        <v>2216</v>
      </c>
      <c r="D264" s="3">
        <v>120</v>
      </c>
      <c r="E264" s="3"/>
      <c r="F264" s="3">
        <v>120</v>
      </c>
      <c r="G264" s="3"/>
      <c r="H264" s="19" t="s">
        <v>2218</v>
      </c>
    </row>
    <row r="265" spans="1:8" ht="21" x14ac:dyDescent="0.7">
      <c r="A265" s="2">
        <v>263</v>
      </c>
      <c r="B265" s="8" t="s">
        <v>20</v>
      </c>
      <c r="C265" s="10" t="s">
        <v>2219</v>
      </c>
      <c r="D265" s="3"/>
      <c r="E265" s="3">
        <v>1</v>
      </c>
      <c r="F265" s="3">
        <f t="shared" ref="F265:F270" si="39">F264-E265</f>
        <v>119</v>
      </c>
      <c r="G265" s="3" t="s">
        <v>2220</v>
      </c>
      <c r="H265" s="5" t="s">
        <v>55</v>
      </c>
    </row>
    <row r="266" spans="1:8" ht="21" x14ac:dyDescent="0.7">
      <c r="A266" s="2">
        <v>264</v>
      </c>
      <c r="B266" s="8" t="s">
        <v>20</v>
      </c>
      <c r="C266" s="10" t="s">
        <v>2219</v>
      </c>
      <c r="D266" s="3"/>
      <c r="E266" s="3">
        <v>2</v>
      </c>
      <c r="F266" s="3">
        <f t="shared" si="39"/>
        <v>117</v>
      </c>
      <c r="G266" s="3">
        <v>6584</v>
      </c>
      <c r="H266" s="5" t="s">
        <v>1367</v>
      </c>
    </row>
    <row r="267" spans="1:8" ht="21" x14ac:dyDescent="0.7">
      <c r="A267" s="2">
        <v>265</v>
      </c>
      <c r="B267" s="8" t="s">
        <v>20</v>
      </c>
      <c r="C267" s="10" t="s">
        <v>2233</v>
      </c>
      <c r="D267" s="3"/>
      <c r="E267" s="3">
        <v>15</v>
      </c>
      <c r="F267" s="3">
        <f t="shared" si="39"/>
        <v>102</v>
      </c>
      <c r="G267" s="3">
        <v>6613</v>
      </c>
      <c r="H267" s="5" t="s">
        <v>1545</v>
      </c>
    </row>
    <row r="268" spans="1:8" ht="21" x14ac:dyDescent="0.7">
      <c r="A268" s="2">
        <v>266</v>
      </c>
      <c r="B268" s="8" t="s">
        <v>20</v>
      </c>
      <c r="C268" s="10" t="s">
        <v>2234</v>
      </c>
      <c r="D268" s="3"/>
      <c r="E268" s="3">
        <v>10</v>
      </c>
      <c r="F268" s="3">
        <f t="shared" si="39"/>
        <v>92</v>
      </c>
      <c r="G268" s="3">
        <v>6620</v>
      </c>
      <c r="H268" s="5" t="s">
        <v>153</v>
      </c>
    </row>
    <row r="269" spans="1:8" ht="21" x14ac:dyDescent="0.7">
      <c r="A269" s="2">
        <v>267</v>
      </c>
      <c r="B269" s="8" t="s">
        <v>20</v>
      </c>
      <c r="C269" s="10" t="s">
        <v>2243</v>
      </c>
      <c r="D269" s="3"/>
      <c r="E269" s="3">
        <v>1</v>
      </c>
      <c r="F269" s="3">
        <f t="shared" si="39"/>
        <v>91</v>
      </c>
      <c r="G269" s="3">
        <v>6630</v>
      </c>
      <c r="H269" s="5" t="s">
        <v>1293</v>
      </c>
    </row>
    <row r="270" spans="1:8" ht="21" x14ac:dyDescent="0.7">
      <c r="A270" s="2">
        <v>268</v>
      </c>
      <c r="B270" s="8" t="s">
        <v>20</v>
      </c>
      <c r="C270" s="10" t="s">
        <v>2252</v>
      </c>
      <c r="D270" s="3"/>
      <c r="E270" s="3">
        <v>5</v>
      </c>
      <c r="F270" s="3">
        <f t="shared" si="39"/>
        <v>86</v>
      </c>
      <c r="G270" s="3">
        <v>6652</v>
      </c>
      <c r="H270" s="5" t="s">
        <v>1270</v>
      </c>
    </row>
    <row r="271" spans="1:8" ht="21" x14ac:dyDescent="0.7">
      <c r="A271" s="2">
        <v>269</v>
      </c>
      <c r="B271" s="8" t="s">
        <v>20</v>
      </c>
      <c r="C271" s="10" t="s">
        <v>2253</v>
      </c>
      <c r="D271" s="3"/>
      <c r="E271" s="3">
        <v>3</v>
      </c>
      <c r="F271" s="3">
        <f t="shared" ref="F271:F276" si="40">F270-E271</f>
        <v>83</v>
      </c>
      <c r="G271" s="3" t="s">
        <v>2254</v>
      </c>
      <c r="H271" s="5" t="s">
        <v>55</v>
      </c>
    </row>
    <row r="272" spans="1:8" ht="21" x14ac:dyDescent="0.7">
      <c r="A272" s="2">
        <v>270</v>
      </c>
      <c r="B272" s="8" t="s">
        <v>20</v>
      </c>
      <c r="C272" s="10" t="s">
        <v>2252</v>
      </c>
      <c r="D272" s="3"/>
      <c r="E272" s="3">
        <v>2</v>
      </c>
      <c r="F272" s="3">
        <f t="shared" si="40"/>
        <v>81</v>
      </c>
      <c r="G272" s="3">
        <v>6651</v>
      </c>
      <c r="H272" s="5" t="s">
        <v>2255</v>
      </c>
    </row>
    <row r="273" spans="1:8" ht="21" x14ac:dyDescent="0.7">
      <c r="A273" s="2">
        <v>271</v>
      </c>
      <c r="B273" s="8" t="s">
        <v>20</v>
      </c>
      <c r="C273" s="10" t="s">
        <v>2260</v>
      </c>
      <c r="D273" s="3"/>
      <c r="E273" s="3">
        <v>10</v>
      </c>
      <c r="F273" s="3">
        <f t="shared" si="40"/>
        <v>71</v>
      </c>
      <c r="G273" s="3">
        <v>6670</v>
      </c>
      <c r="H273" s="5" t="s">
        <v>2262</v>
      </c>
    </row>
    <row r="274" spans="1:8" ht="21" x14ac:dyDescent="0.7">
      <c r="A274" s="2">
        <v>272</v>
      </c>
      <c r="B274" s="8" t="s">
        <v>20</v>
      </c>
      <c r="C274" s="10" t="s">
        <v>2260</v>
      </c>
      <c r="D274" s="3"/>
      <c r="E274" s="3">
        <v>25</v>
      </c>
      <c r="F274" s="3">
        <f t="shared" si="40"/>
        <v>46</v>
      </c>
      <c r="G274" s="3">
        <v>6668</v>
      </c>
      <c r="H274" s="5" t="s">
        <v>1545</v>
      </c>
    </row>
    <row r="275" spans="1:8" ht="21" x14ac:dyDescent="0.7">
      <c r="A275" s="2">
        <v>273</v>
      </c>
      <c r="B275" s="8" t="s">
        <v>20</v>
      </c>
      <c r="C275" s="10" t="s">
        <v>2266</v>
      </c>
      <c r="D275" s="3"/>
      <c r="E275" s="3">
        <v>4</v>
      </c>
      <c r="F275" s="3">
        <f t="shared" si="40"/>
        <v>42</v>
      </c>
      <c r="G275" s="3">
        <v>6672</v>
      </c>
      <c r="H275" s="5" t="s">
        <v>614</v>
      </c>
    </row>
    <row r="276" spans="1:8" ht="21" x14ac:dyDescent="0.7">
      <c r="A276" s="2">
        <v>274</v>
      </c>
      <c r="B276" s="8" t="s">
        <v>20</v>
      </c>
      <c r="C276" s="10" t="s">
        <v>2269</v>
      </c>
      <c r="D276" s="3"/>
      <c r="E276" s="3">
        <v>2</v>
      </c>
      <c r="F276" s="3">
        <f t="shared" si="40"/>
        <v>40</v>
      </c>
      <c r="G276" s="3" t="s">
        <v>2270</v>
      </c>
      <c r="H276" s="5" t="s">
        <v>55</v>
      </c>
    </row>
    <row r="277" spans="1:8" ht="21" x14ac:dyDescent="0.7">
      <c r="A277" s="2">
        <v>275</v>
      </c>
      <c r="B277" s="8" t="s">
        <v>20</v>
      </c>
      <c r="C277" s="10" t="s">
        <v>2284</v>
      </c>
      <c r="D277" s="3"/>
      <c r="E277" s="3">
        <v>2</v>
      </c>
      <c r="F277" s="3">
        <f t="shared" ref="F277:F282" si="41">F276-E277</f>
        <v>38</v>
      </c>
      <c r="G277" s="3">
        <v>6700</v>
      </c>
      <c r="H277" s="5" t="s">
        <v>614</v>
      </c>
    </row>
    <row r="278" spans="1:8" ht="21" x14ac:dyDescent="0.7">
      <c r="A278" s="2">
        <v>276</v>
      </c>
      <c r="B278" s="8" t="s">
        <v>20</v>
      </c>
      <c r="C278" s="10" t="s">
        <v>2287</v>
      </c>
      <c r="D278" s="3"/>
      <c r="E278" s="3">
        <v>1</v>
      </c>
      <c r="F278" s="3">
        <f t="shared" si="41"/>
        <v>37</v>
      </c>
      <c r="G278" s="3">
        <v>6702</v>
      </c>
      <c r="H278" s="5" t="s">
        <v>2288</v>
      </c>
    </row>
    <row r="279" spans="1:8" ht="21" x14ac:dyDescent="0.7">
      <c r="A279" s="2">
        <v>277</v>
      </c>
      <c r="B279" s="8" t="s">
        <v>20</v>
      </c>
      <c r="C279" s="10" t="s">
        <v>2310</v>
      </c>
      <c r="D279" s="3"/>
      <c r="E279" s="3">
        <v>10</v>
      </c>
      <c r="F279" s="3">
        <f t="shared" si="41"/>
        <v>27</v>
      </c>
      <c r="G279" s="3">
        <v>6721</v>
      </c>
      <c r="H279" s="5" t="s">
        <v>2262</v>
      </c>
    </row>
    <row r="280" spans="1:8" ht="21" x14ac:dyDescent="0.7">
      <c r="A280" s="2">
        <v>278</v>
      </c>
      <c r="B280" s="8" t="s">
        <v>20</v>
      </c>
      <c r="C280" s="10" t="s">
        <v>2313</v>
      </c>
      <c r="D280" s="3"/>
      <c r="E280" s="3">
        <v>1</v>
      </c>
      <c r="F280" s="3">
        <f t="shared" si="41"/>
        <v>26</v>
      </c>
      <c r="G280" s="3" t="s">
        <v>2314</v>
      </c>
      <c r="H280" s="5" t="s">
        <v>55</v>
      </c>
    </row>
    <row r="281" spans="1:8" ht="21" x14ac:dyDescent="0.7">
      <c r="A281" s="2">
        <v>279</v>
      </c>
      <c r="B281" s="8" t="s">
        <v>20</v>
      </c>
      <c r="C281" s="10" t="s">
        <v>2331</v>
      </c>
      <c r="D281" s="3"/>
      <c r="E281" s="3">
        <v>1</v>
      </c>
      <c r="F281" s="3">
        <f t="shared" si="41"/>
        <v>25</v>
      </c>
      <c r="G281" s="3" t="s">
        <v>2333</v>
      </c>
      <c r="H281" s="5" t="s">
        <v>55</v>
      </c>
    </row>
    <row r="282" spans="1:8" ht="21" x14ac:dyDescent="0.7">
      <c r="A282" s="2">
        <v>280</v>
      </c>
      <c r="B282" s="8" t="s">
        <v>20</v>
      </c>
      <c r="C282" s="10" t="s">
        <v>2336</v>
      </c>
      <c r="D282" s="3"/>
      <c r="E282" s="3">
        <v>15</v>
      </c>
      <c r="F282" s="3">
        <f t="shared" si="41"/>
        <v>10</v>
      </c>
      <c r="G282" s="3">
        <v>6776</v>
      </c>
      <c r="H282" s="5" t="s">
        <v>2262</v>
      </c>
    </row>
    <row r="283" spans="1:8" ht="21" x14ac:dyDescent="0.7">
      <c r="A283" s="2">
        <v>281</v>
      </c>
      <c r="B283" s="8" t="s">
        <v>20</v>
      </c>
      <c r="C283" s="10" t="s">
        <v>2339</v>
      </c>
      <c r="D283" s="3"/>
      <c r="E283" s="3">
        <v>10</v>
      </c>
      <c r="F283" s="3">
        <f>F282-E283</f>
        <v>0</v>
      </c>
      <c r="G283" s="3">
        <v>6781</v>
      </c>
      <c r="H283" s="5" t="s">
        <v>2262</v>
      </c>
    </row>
    <row r="284" spans="1:8" ht="21" customHeight="1" x14ac:dyDescent="0.3">
      <c r="A284" s="2">
        <v>282</v>
      </c>
      <c r="B284" s="8" t="s">
        <v>20</v>
      </c>
      <c r="C284" s="10" t="s">
        <v>2376</v>
      </c>
      <c r="D284" s="3">
        <v>60</v>
      </c>
      <c r="E284" s="3"/>
      <c r="F284" s="3">
        <v>60</v>
      </c>
      <c r="G284" s="44" t="s">
        <v>2375</v>
      </c>
      <c r="H284" s="45"/>
    </row>
    <row r="285" spans="1:8" ht="21" x14ac:dyDescent="0.7">
      <c r="A285" s="2">
        <v>283</v>
      </c>
      <c r="B285" s="8" t="s">
        <v>20</v>
      </c>
      <c r="C285" s="10" t="s">
        <v>2390</v>
      </c>
      <c r="D285" s="3"/>
      <c r="E285" s="3">
        <v>25</v>
      </c>
      <c r="F285" s="3">
        <f t="shared" ref="F285:F290" si="42">F284-E285</f>
        <v>35</v>
      </c>
      <c r="G285" s="3">
        <v>6879</v>
      </c>
      <c r="H285" s="5" t="s">
        <v>1545</v>
      </c>
    </row>
    <row r="286" spans="1:8" ht="21" x14ac:dyDescent="0.7">
      <c r="A286" s="2">
        <v>284</v>
      </c>
      <c r="B286" s="8" t="s">
        <v>20</v>
      </c>
      <c r="C286" s="10" t="s">
        <v>2399</v>
      </c>
      <c r="D286" s="3"/>
      <c r="E286" s="3">
        <v>20</v>
      </c>
      <c r="F286" s="3">
        <f t="shared" si="42"/>
        <v>15</v>
      </c>
      <c r="G286" s="3">
        <v>6886</v>
      </c>
      <c r="H286" s="5" t="s">
        <v>2262</v>
      </c>
    </row>
    <row r="287" spans="1:8" ht="21" x14ac:dyDescent="0.7">
      <c r="A287" s="2">
        <v>285</v>
      </c>
      <c r="B287" s="8" t="s">
        <v>20</v>
      </c>
      <c r="C287" s="10" t="s">
        <v>2408</v>
      </c>
      <c r="D287" s="3"/>
      <c r="E287" s="3">
        <v>1</v>
      </c>
      <c r="F287" s="3">
        <f t="shared" si="42"/>
        <v>14</v>
      </c>
      <c r="G287" s="3" t="s">
        <v>2409</v>
      </c>
      <c r="H287" s="5" t="s">
        <v>55</v>
      </c>
    </row>
    <row r="288" spans="1:8" ht="21" x14ac:dyDescent="0.7">
      <c r="A288" s="2">
        <v>286</v>
      </c>
      <c r="B288" s="8" t="s">
        <v>20</v>
      </c>
      <c r="C288" s="10" t="s">
        <v>2408</v>
      </c>
      <c r="D288" s="3"/>
      <c r="E288" s="3">
        <v>1</v>
      </c>
      <c r="F288" s="3">
        <f t="shared" si="42"/>
        <v>13</v>
      </c>
      <c r="G288" s="3">
        <v>6909</v>
      </c>
      <c r="H288" s="5" t="s">
        <v>780</v>
      </c>
    </row>
    <row r="289" spans="1:8" ht="21" x14ac:dyDescent="0.7">
      <c r="A289" s="2">
        <v>287</v>
      </c>
      <c r="B289" s="8" t="s">
        <v>20</v>
      </c>
      <c r="C289" s="10" t="s">
        <v>2413</v>
      </c>
      <c r="D289" s="3"/>
      <c r="E289" s="3">
        <v>3</v>
      </c>
      <c r="F289" s="3">
        <f t="shared" si="42"/>
        <v>10</v>
      </c>
      <c r="G289" s="3">
        <v>6912</v>
      </c>
      <c r="H289" s="5" t="s">
        <v>153</v>
      </c>
    </row>
    <row r="290" spans="1:8" ht="21" x14ac:dyDescent="0.7">
      <c r="A290" s="2">
        <v>288</v>
      </c>
      <c r="B290" s="8" t="s">
        <v>20</v>
      </c>
      <c r="C290" s="10" t="s">
        <v>2415</v>
      </c>
      <c r="D290" s="3"/>
      <c r="E290" s="3">
        <v>1</v>
      </c>
      <c r="F290" s="3">
        <f t="shared" si="42"/>
        <v>9</v>
      </c>
      <c r="G290" s="3" t="s">
        <v>2417</v>
      </c>
      <c r="H290" s="5" t="s">
        <v>55</v>
      </c>
    </row>
    <row r="291" spans="1:8" ht="21" customHeight="1" x14ac:dyDescent="0.3">
      <c r="A291" s="2">
        <v>289</v>
      </c>
      <c r="B291" s="8" t="s">
        <v>20</v>
      </c>
      <c r="C291" s="10" t="s">
        <v>2425</v>
      </c>
      <c r="D291" s="3">
        <v>60</v>
      </c>
      <c r="E291" s="3"/>
      <c r="F291" s="3">
        <f>F290+D291</f>
        <v>69</v>
      </c>
      <c r="G291" s="44" t="s">
        <v>2426</v>
      </c>
      <c r="H291" s="45"/>
    </row>
    <row r="292" spans="1:8" ht="21" x14ac:dyDescent="0.7">
      <c r="A292" s="2">
        <v>290</v>
      </c>
      <c r="B292" s="8" t="s">
        <v>20</v>
      </c>
      <c r="C292" s="10" t="s">
        <v>2453</v>
      </c>
      <c r="D292" s="3"/>
      <c r="E292" s="3">
        <v>1</v>
      </c>
      <c r="F292" s="3">
        <f t="shared" ref="F292:F297" si="43">F291-E292</f>
        <v>68</v>
      </c>
      <c r="G292" s="3" t="s">
        <v>2454</v>
      </c>
      <c r="H292" s="5" t="s">
        <v>55</v>
      </c>
    </row>
    <row r="293" spans="1:8" ht="21" x14ac:dyDescent="0.7">
      <c r="A293" s="2">
        <v>291</v>
      </c>
      <c r="B293" s="8" t="s">
        <v>20</v>
      </c>
      <c r="C293" s="10" t="s">
        <v>2455</v>
      </c>
      <c r="D293" s="3"/>
      <c r="E293" s="3">
        <v>3</v>
      </c>
      <c r="F293" s="3">
        <f t="shared" si="43"/>
        <v>65</v>
      </c>
      <c r="G293" s="3">
        <v>6966</v>
      </c>
      <c r="H293" s="5" t="s">
        <v>614</v>
      </c>
    </row>
    <row r="294" spans="1:8" ht="21" x14ac:dyDescent="0.7">
      <c r="A294" s="2">
        <v>292</v>
      </c>
      <c r="B294" s="8" t="s">
        <v>20</v>
      </c>
      <c r="C294" s="10" t="s">
        <v>2455</v>
      </c>
      <c r="D294" s="3"/>
      <c r="E294" s="3">
        <v>20</v>
      </c>
      <c r="F294" s="3">
        <f t="shared" si="43"/>
        <v>45</v>
      </c>
      <c r="G294" s="3">
        <v>6968</v>
      </c>
      <c r="H294" s="5" t="s">
        <v>2456</v>
      </c>
    </row>
    <row r="295" spans="1:8" ht="21" x14ac:dyDescent="0.7">
      <c r="A295" s="2">
        <v>293</v>
      </c>
      <c r="B295" s="8" t="s">
        <v>20</v>
      </c>
      <c r="C295" s="10" t="s">
        <v>2471</v>
      </c>
      <c r="D295" s="3"/>
      <c r="E295" s="3">
        <v>4</v>
      </c>
      <c r="F295" s="3">
        <f t="shared" si="43"/>
        <v>41</v>
      </c>
      <c r="G295" s="3">
        <v>6994</v>
      </c>
      <c r="H295" s="5" t="s">
        <v>614</v>
      </c>
    </row>
    <row r="296" spans="1:8" ht="21" x14ac:dyDescent="0.7">
      <c r="A296" s="2">
        <v>294</v>
      </c>
      <c r="B296" s="8" t="s">
        <v>20</v>
      </c>
      <c r="C296" s="10" t="s">
        <v>2477</v>
      </c>
      <c r="D296" s="3"/>
      <c r="E296" s="3">
        <v>1</v>
      </c>
      <c r="F296" s="3">
        <f t="shared" si="43"/>
        <v>40</v>
      </c>
      <c r="G296" s="3" t="s">
        <v>2478</v>
      </c>
      <c r="H296" s="5" t="s">
        <v>55</v>
      </c>
    </row>
    <row r="297" spans="1:8" ht="21" x14ac:dyDescent="0.7">
      <c r="A297" s="2">
        <v>295</v>
      </c>
      <c r="B297" s="8" t="s">
        <v>20</v>
      </c>
      <c r="C297" s="10" t="s">
        <v>2479</v>
      </c>
      <c r="D297" s="3"/>
      <c r="E297" s="3">
        <v>1</v>
      </c>
      <c r="F297" s="3">
        <f t="shared" si="43"/>
        <v>39</v>
      </c>
      <c r="G297" s="3" t="s">
        <v>2480</v>
      </c>
      <c r="H297" s="5" t="s">
        <v>55</v>
      </c>
    </row>
    <row r="298" spans="1:8" ht="21" x14ac:dyDescent="0.7">
      <c r="A298" s="2">
        <v>296</v>
      </c>
      <c r="B298" s="8" t="s">
        <v>20</v>
      </c>
      <c r="C298" s="10" t="s">
        <v>2481</v>
      </c>
      <c r="D298" s="3"/>
      <c r="E298" s="3">
        <v>10</v>
      </c>
      <c r="F298" s="3">
        <f>F297-E298</f>
        <v>29</v>
      </c>
      <c r="G298" s="3">
        <v>7012</v>
      </c>
      <c r="H298" s="5" t="s">
        <v>2456</v>
      </c>
    </row>
    <row r="299" spans="1:8" ht="21" x14ac:dyDescent="0.7">
      <c r="A299" s="2">
        <v>297</v>
      </c>
      <c r="B299" s="8" t="s">
        <v>20</v>
      </c>
      <c r="C299" s="10" t="s">
        <v>2499</v>
      </c>
      <c r="D299" s="3"/>
      <c r="E299" s="3">
        <v>1</v>
      </c>
      <c r="F299" s="3">
        <f>F298-E299</f>
        <v>28</v>
      </c>
      <c r="G299" s="3">
        <v>7041</v>
      </c>
      <c r="H299" s="5" t="s">
        <v>1764</v>
      </c>
    </row>
    <row r="300" spans="1:8" ht="21" x14ac:dyDescent="0.7">
      <c r="A300" s="2">
        <v>298</v>
      </c>
      <c r="B300" s="8" t="s">
        <v>20</v>
      </c>
      <c r="C300" s="10" t="s">
        <v>2509</v>
      </c>
      <c r="D300" s="3"/>
      <c r="E300" s="3">
        <v>10</v>
      </c>
      <c r="F300" s="3">
        <f>F299-E300</f>
        <v>18</v>
      </c>
      <c r="G300" s="3">
        <v>7057</v>
      </c>
      <c r="H300" s="5" t="s">
        <v>2456</v>
      </c>
    </row>
    <row r="301" spans="1:8" ht="21" x14ac:dyDescent="0.7">
      <c r="A301" s="2">
        <v>299</v>
      </c>
      <c r="B301" s="8" t="s">
        <v>20</v>
      </c>
      <c r="C301" s="10" t="s">
        <v>2511</v>
      </c>
      <c r="D301" s="3"/>
      <c r="E301" s="3">
        <v>10</v>
      </c>
      <c r="F301" s="3">
        <f>F300-E301</f>
        <v>8</v>
      </c>
      <c r="G301" s="3">
        <v>7074</v>
      </c>
      <c r="H301" s="5" t="s">
        <v>153</v>
      </c>
    </row>
    <row r="302" spans="1:8" ht="21" x14ac:dyDescent="0.7">
      <c r="A302" s="2">
        <v>300</v>
      </c>
      <c r="B302" s="8" t="s">
        <v>20</v>
      </c>
      <c r="C302" s="10" t="s">
        <v>2514</v>
      </c>
      <c r="D302" s="3"/>
      <c r="E302" s="3">
        <v>8</v>
      </c>
      <c r="F302" s="3">
        <f>F301-E302</f>
        <v>0</v>
      </c>
      <c r="G302" s="3">
        <v>7088</v>
      </c>
      <c r="H302" s="5" t="s">
        <v>2456</v>
      </c>
    </row>
    <row r="303" spans="1:8" ht="21" x14ac:dyDescent="0.7">
      <c r="A303" s="2">
        <v>301</v>
      </c>
      <c r="B303" s="8" t="s">
        <v>20</v>
      </c>
      <c r="C303" s="10" t="s">
        <v>2529</v>
      </c>
      <c r="D303" s="3">
        <v>60</v>
      </c>
      <c r="E303" s="3"/>
      <c r="F303" s="3">
        <v>60</v>
      </c>
      <c r="G303" s="3"/>
      <c r="H303" s="19" t="s">
        <v>2530</v>
      </c>
    </row>
    <row r="304" spans="1:8" ht="21" x14ac:dyDescent="0.7">
      <c r="A304" s="2">
        <v>302</v>
      </c>
      <c r="B304" s="8" t="s">
        <v>20</v>
      </c>
      <c r="C304" s="10" t="s">
        <v>2538</v>
      </c>
      <c r="D304" s="3"/>
      <c r="E304" s="3">
        <v>1</v>
      </c>
      <c r="F304" s="3">
        <f>F303-E304</f>
        <v>59</v>
      </c>
      <c r="G304" s="3">
        <v>7129</v>
      </c>
      <c r="H304" s="5" t="s">
        <v>153</v>
      </c>
    </row>
    <row r="305" spans="1:8" ht="21" x14ac:dyDescent="0.7">
      <c r="A305" s="2">
        <v>303</v>
      </c>
      <c r="B305" s="8" t="s">
        <v>20</v>
      </c>
      <c r="C305" s="10" t="s">
        <v>2556</v>
      </c>
      <c r="D305" s="3">
        <v>24</v>
      </c>
      <c r="E305" s="3"/>
      <c r="F305" s="3">
        <f>F304+D305</f>
        <v>83</v>
      </c>
      <c r="G305" s="3"/>
      <c r="H305" s="19" t="s">
        <v>2555</v>
      </c>
    </row>
    <row r="306" spans="1:8" ht="21" x14ac:dyDescent="0.7">
      <c r="A306" s="2">
        <v>304</v>
      </c>
      <c r="B306" s="8" t="s">
        <v>20</v>
      </c>
      <c r="C306" s="10" t="s">
        <v>2553</v>
      </c>
      <c r="D306" s="3"/>
      <c r="E306" s="3">
        <v>2</v>
      </c>
      <c r="F306" s="3">
        <f>F305-E306</f>
        <v>81</v>
      </c>
      <c r="G306" s="3">
        <v>7171</v>
      </c>
      <c r="H306" s="5" t="s">
        <v>1142</v>
      </c>
    </row>
    <row r="307" spans="1:8" ht="21" x14ac:dyDescent="0.7">
      <c r="A307" s="2">
        <v>305</v>
      </c>
      <c r="B307" s="8" t="s">
        <v>20</v>
      </c>
      <c r="C307" s="10" t="s">
        <v>2565</v>
      </c>
      <c r="D307" s="3"/>
      <c r="E307" s="3">
        <v>2</v>
      </c>
      <c r="F307" s="3">
        <f>F306-E307</f>
        <v>79</v>
      </c>
      <c r="G307" s="3">
        <v>7181</v>
      </c>
      <c r="H307" s="5" t="s">
        <v>1916</v>
      </c>
    </row>
    <row r="308" spans="1:8" ht="21" x14ac:dyDescent="0.7">
      <c r="A308" s="2">
        <v>306</v>
      </c>
      <c r="B308" s="8" t="s">
        <v>20</v>
      </c>
      <c r="C308" s="10" t="s">
        <v>2571</v>
      </c>
      <c r="D308" s="3"/>
      <c r="E308" s="3">
        <v>1</v>
      </c>
      <c r="F308" s="3">
        <f>F307-E308</f>
        <v>78</v>
      </c>
      <c r="G308" s="3">
        <v>7201</v>
      </c>
      <c r="H308" s="5" t="s">
        <v>2495</v>
      </c>
    </row>
    <row r="309" spans="1:8" ht="21" x14ac:dyDescent="0.7">
      <c r="A309" s="2">
        <v>307</v>
      </c>
      <c r="B309" s="8" t="s">
        <v>20</v>
      </c>
      <c r="C309" s="10" t="s">
        <v>2584</v>
      </c>
      <c r="D309" s="3">
        <v>36</v>
      </c>
      <c r="E309" s="3"/>
      <c r="F309" s="3">
        <f>F308+D309</f>
        <v>114</v>
      </c>
      <c r="G309" s="3"/>
      <c r="H309" s="19" t="s">
        <v>2585</v>
      </c>
    </row>
    <row r="310" spans="1:8" ht="21" x14ac:dyDescent="0.7">
      <c r="A310" s="2">
        <v>308</v>
      </c>
      <c r="B310" s="8" t="s">
        <v>20</v>
      </c>
      <c r="C310" s="10" t="s">
        <v>2589</v>
      </c>
      <c r="D310" s="3"/>
      <c r="E310" s="3">
        <v>2</v>
      </c>
      <c r="F310" s="3">
        <f t="shared" ref="F310:F315" si="44">F309-E310</f>
        <v>112</v>
      </c>
      <c r="G310" s="3">
        <v>7217</v>
      </c>
      <c r="H310" s="5" t="s">
        <v>2592</v>
      </c>
    </row>
    <row r="311" spans="1:8" ht="21" x14ac:dyDescent="0.7">
      <c r="A311" s="2">
        <v>309</v>
      </c>
      <c r="B311" s="8" t="s">
        <v>20</v>
      </c>
      <c r="C311" s="10" t="s">
        <v>2594</v>
      </c>
      <c r="D311" s="3"/>
      <c r="E311" s="3">
        <v>1</v>
      </c>
      <c r="F311" s="3">
        <f t="shared" si="44"/>
        <v>111</v>
      </c>
      <c r="G311" s="3">
        <v>7222</v>
      </c>
      <c r="H311" s="5" t="s">
        <v>2595</v>
      </c>
    </row>
    <row r="312" spans="1:8" ht="21" x14ac:dyDescent="0.7">
      <c r="A312" s="2">
        <v>310</v>
      </c>
      <c r="B312" s="8" t="s">
        <v>20</v>
      </c>
      <c r="C312" s="10" t="s">
        <v>2602</v>
      </c>
      <c r="D312" s="3"/>
      <c r="E312" s="3">
        <v>15</v>
      </c>
      <c r="F312" s="3">
        <f t="shared" si="44"/>
        <v>96</v>
      </c>
      <c r="G312" s="3">
        <v>7229</v>
      </c>
      <c r="H312" s="5" t="s">
        <v>2456</v>
      </c>
    </row>
    <row r="313" spans="1:8" ht="21" x14ac:dyDescent="0.7">
      <c r="A313" s="2">
        <v>311</v>
      </c>
      <c r="B313" s="8" t="s">
        <v>20</v>
      </c>
      <c r="C313" s="10" t="s">
        <v>2623</v>
      </c>
      <c r="D313" s="3"/>
      <c r="E313" s="3">
        <v>2</v>
      </c>
      <c r="F313" s="3">
        <f t="shared" si="44"/>
        <v>94</v>
      </c>
      <c r="G313" s="3" t="s">
        <v>2624</v>
      </c>
      <c r="H313" s="5" t="s">
        <v>55</v>
      </c>
    </row>
    <row r="314" spans="1:8" ht="21" x14ac:dyDescent="0.7">
      <c r="A314" s="2">
        <v>312</v>
      </c>
      <c r="B314" s="8" t="s">
        <v>20</v>
      </c>
      <c r="C314" s="10" t="s">
        <v>2633</v>
      </c>
      <c r="D314" s="3"/>
      <c r="E314" s="3">
        <v>3</v>
      </c>
      <c r="F314" s="3">
        <f t="shared" si="44"/>
        <v>91</v>
      </c>
      <c r="G314" s="3">
        <v>7280</v>
      </c>
      <c r="H314" s="5" t="s">
        <v>614</v>
      </c>
    </row>
    <row r="315" spans="1:8" ht="21" x14ac:dyDescent="0.7">
      <c r="A315" s="2">
        <v>313</v>
      </c>
      <c r="B315" s="8" t="s">
        <v>20</v>
      </c>
      <c r="C315" s="10" t="s">
        <v>2655</v>
      </c>
      <c r="D315" s="3"/>
      <c r="E315" s="3">
        <v>25</v>
      </c>
      <c r="F315" s="3">
        <f t="shared" si="44"/>
        <v>66</v>
      </c>
      <c r="G315" s="3">
        <v>7326</v>
      </c>
      <c r="H315" s="5" t="s">
        <v>1545</v>
      </c>
    </row>
    <row r="316" spans="1:8" ht="21" x14ac:dyDescent="0.7">
      <c r="A316" s="2">
        <v>314</v>
      </c>
      <c r="B316" s="8" t="s">
        <v>20</v>
      </c>
      <c r="C316" s="10" t="s">
        <v>2656</v>
      </c>
      <c r="D316" s="3"/>
      <c r="E316" s="3">
        <v>1</v>
      </c>
      <c r="F316" s="3">
        <f>F315-E316</f>
        <v>65</v>
      </c>
      <c r="G316" s="3">
        <v>7324</v>
      </c>
      <c r="H316" s="5" t="s">
        <v>2595</v>
      </c>
    </row>
    <row r="317" spans="1:8" ht="21" x14ac:dyDescent="0.7">
      <c r="A317" s="2">
        <v>315</v>
      </c>
      <c r="B317" s="8" t="s">
        <v>20</v>
      </c>
      <c r="C317" s="10" t="s">
        <v>2670</v>
      </c>
      <c r="D317" s="3"/>
      <c r="E317" s="3">
        <v>10</v>
      </c>
      <c r="F317" s="3">
        <f>F316-E317</f>
        <v>55</v>
      </c>
      <c r="G317" s="3">
        <v>7340</v>
      </c>
      <c r="H317" s="5" t="s">
        <v>400</v>
      </c>
    </row>
    <row r="318" spans="1:8" ht="21" x14ac:dyDescent="0.7">
      <c r="A318" s="2">
        <v>316</v>
      </c>
      <c r="B318" s="8" t="s">
        <v>20</v>
      </c>
      <c r="C318" s="10" t="s">
        <v>2675</v>
      </c>
      <c r="D318" s="3">
        <v>60</v>
      </c>
      <c r="E318" s="3"/>
      <c r="F318" s="3">
        <f>F317+D318</f>
        <v>115</v>
      </c>
      <c r="G318" s="3"/>
      <c r="H318" s="19" t="s">
        <v>2674</v>
      </c>
    </row>
    <row r="319" spans="1:8" ht="21" x14ac:dyDescent="0.7">
      <c r="A319" s="2">
        <v>317</v>
      </c>
      <c r="B319" s="8" t="s">
        <v>20</v>
      </c>
      <c r="C319" s="10"/>
      <c r="D319" s="3"/>
      <c r="E319" s="3"/>
      <c r="F319" s="3"/>
      <c r="G319" s="3"/>
      <c r="H319" s="5"/>
    </row>
    <row r="320" spans="1:8" ht="21" x14ac:dyDescent="0.7">
      <c r="A320" s="2">
        <v>318</v>
      </c>
      <c r="B320" s="8" t="s">
        <v>20</v>
      </c>
      <c r="C320" s="10"/>
      <c r="D320" s="3"/>
      <c r="E320" s="3"/>
      <c r="F320" s="3"/>
      <c r="G320" s="3"/>
      <c r="H320" s="5"/>
    </row>
    <row r="321" spans="1:8" ht="21" x14ac:dyDescent="0.7">
      <c r="A321" s="2">
        <v>319</v>
      </c>
      <c r="B321" s="8" t="s">
        <v>20</v>
      </c>
      <c r="C321" s="10"/>
      <c r="D321" s="3"/>
      <c r="E321" s="3"/>
      <c r="F321" s="3"/>
      <c r="G321" s="3"/>
      <c r="H321" s="5"/>
    </row>
  </sheetData>
  <mergeCells count="6">
    <mergeCell ref="G291:H291"/>
    <mergeCell ref="G7:H7"/>
    <mergeCell ref="G33:H33"/>
    <mergeCell ref="G108:H108"/>
    <mergeCell ref="G234:H234"/>
    <mergeCell ref="G284:H284"/>
  </mergeCells>
  <phoneticPr fontId="7" type="noConversion"/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189"/>
  <sheetViews>
    <sheetView rightToLeft="1" zoomScale="115" zoomScaleNormal="115" workbookViewId="0">
      <pane ySplit="1" topLeftCell="A179" activePane="bottomLeft" state="frozen"/>
      <selection pane="bottomLeft" activeCell="F186" sqref="F186"/>
    </sheetView>
  </sheetViews>
  <sheetFormatPr defaultRowHeight="14.4" x14ac:dyDescent="0.3"/>
  <cols>
    <col min="2" max="2" width="10.44140625" bestFit="1" customWidth="1"/>
    <col min="3" max="3" width="11.88671875" bestFit="1" customWidth="1"/>
    <col min="8" max="8" width="27.55468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21</v>
      </c>
      <c r="C2" s="10" t="s">
        <v>62</v>
      </c>
      <c r="D2" s="3"/>
      <c r="E2" s="3">
        <v>6</v>
      </c>
      <c r="F2" s="3">
        <v>320</v>
      </c>
      <c r="G2" s="3">
        <v>3635</v>
      </c>
      <c r="H2" s="5" t="s">
        <v>43</v>
      </c>
    </row>
    <row r="3" spans="1:8" ht="21" x14ac:dyDescent="0.7">
      <c r="A3" s="2">
        <v>2</v>
      </c>
      <c r="B3" s="8" t="s">
        <v>21</v>
      </c>
      <c r="C3" s="10" t="s">
        <v>101</v>
      </c>
      <c r="D3" s="3"/>
      <c r="E3" s="3">
        <v>1</v>
      </c>
      <c r="F3" s="3">
        <f t="shared" ref="F3:F7" si="0">F2-E3</f>
        <v>319</v>
      </c>
      <c r="G3" s="3" t="s">
        <v>102</v>
      </c>
      <c r="H3" s="5" t="s">
        <v>55</v>
      </c>
    </row>
    <row r="4" spans="1:8" ht="21" x14ac:dyDescent="0.7">
      <c r="A4" s="2">
        <v>3</v>
      </c>
      <c r="B4" s="8" t="s">
        <v>21</v>
      </c>
      <c r="C4" s="10" t="s">
        <v>114</v>
      </c>
      <c r="D4" s="3"/>
      <c r="E4" s="3">
        <v>18</v>
      </c>
      <c r="F4" s="3">
        <f t="shared" si="0"/>
        <v>301</v>
      </c>
      <c r="G4" s="3">
        <v>3671</v>
      </c>
      <c r="H4" s="5" t="s">
        <v>117</v>
      </c>
    </row>
    <row r="5" spans="1:8" ht="21" x14ac:dyDescent="0.7">
      <c r="A5" s="2">
        <v>4</v>
      </c>
      <c r="B5" s="8" t="s">
        <v>21</v>
      </c>
      <c r="C5" s="10" t="s">
        <v>122</v>
      </c>
      <c r="D5" s="3"/>
      <c r="E5" s="3">
        <v>2</v>
      </c>
      <c r="F5" s="3">
        <f t="shared" si="0"/>
        <v>299</v>
      </c>
      <c r="G5" s="3" t="s">
        <v>123</v>
      </c>
      <c r="H5" s="5" t="s">
        <v>55</v>
      </c>
    </row>
    <row r="6" spans="1:8" ht="21" x14ac:dyDescent="0.7">
      <c r="A6" s="2">
        <v>5</v>
      </c>
      <c r="B6" s="8" t="s">
        <v>21</v>
      </c>
      <c r="C6" s="10" t="s">
        <v>125</v>
      </c>
      <c r="D6" s="3"/>
      <c r="E6" s="3">
        <v>1</v>
      </c>
      <c r="F6" s="3">
        <f t="shared" si="0"/>
        <v>298</v>
      </c>
      <c r="G6" s="3">
        <v>3678</v>
      </c>
      <c r="H6" s="5" t="s">
        <v>126</v>
      </c>
    </row>
    <row r="7" spans="1:8" ht="21" x14ac:dyDescent="0.7">
      <c r="A7" s="2">
        <v>6</v>
      </c>
      <c r="B7" s="8" t="s">
        <v>21</v>
      </c>
      <c r="C7" s="10" t="s">
        <v>133</v>
      </c>
      <c r="D7" s="3"/>
      <c r="E7" s="3">
        <v>8</v>
      </c>
      <c r="F7" s="3">
        <f t="shared" si="0"/>
        <v>290</v>
      </c>
      <c r="G7" s="3">
        <v>3684</v>
      </c>
      <c r="H7" s="5" t="s">
        <v>121</v>
      </c>
    </row>
    <row r="8" spans="1:8" ht="20.25" customHeight="1" x14ac:dyDescent="0.3">
      <c r="A8" s="2">
        <v>7</v>
      </c>
      <c r="B8" s="8"/>
      <c r="C8" s="10"/>
      <c r="D8" s="3"/>
      <c r="E8" s="3">
        <v>2</v>
      </c>
      <c r="F8" s="3">
        <f>F7+2</f>
        <v>292</v>
      </c>
      <c r="G8" s="46" t="s">
        <v>194</v>
      </c>
      <c r="H8" s="47"/>
    </row>
    <row r="9" spans="1:8" ht="21" x14ac:dyDescent="0.7">
      <c r="A9" s="2">
        <v>8</v>
      </c>
      <c r="B9" s="8" t="s">
        <v>21</v>
      </c>
      <c r="C9" s="10" t="s">
        <v>142</v>
      </c>
      <c r="D9" s="3"/>
      <c r="E9" s="3">
        <v>15</v>
      </c>
      <c r="F9" s="3">
        <f t="shared" ref="F9:F14" si="1">F8-E9</f>
        <v>277</v>
      </c>
      <c r="G9" s="3">
        <v>3718</v>
      </c>
      <c r="H9" s="5" t="s">
        <v>121</v>
      </c>
    </row>
    <row r="10" spans="1:8" ht="21" x14ac:dyDescent="0.7">
      <c r="A10" s="2">
        <v>9</v>
      </c>
      <c r="B10" s="8" t="s">
        <v>21</v>
      </c>
      <c r="C10" s="10" t="s">
        <v>181</v>
      </c>
      <c r="D10" s="3"/>
      <c r="E10" s="3">
        <v>15</v>
      </c>
      <c r="F10" s="3">
        <f t="shared" si="1"/>
        <v>262</v>
      </c>
      <c r="G10" s="3">
        <v>3771</v>
      </c>
      <c r="H10" s="5" t="s">
        <v>117</v>
      </c>
    </row>
    <row r="11" spans="1:8" ht="21" x14ac:dyDescent="0.7">
      <c r="A11" s="2">
        <v>10</v>
      </c>
      <c r="B11" s="8" t="s">
        <v>21</v>
      </c>
      <c r="C11" s="10" t="s">
        <v>188</v>
      </c>
      <c r="D11" s="3"/>
      <c r="E11" s="3">
        <v>10</v>
      </c>
      <c r="F11" s="3">
        <f t="shared" si="1"/>
        <v>252</v>
      </c>
      <c r="G11" s="3">
        <v>3778</v>
      </c>
      <c r="H11" s="5" t="s">
        <v>80</v>
      </c>
    </row>
    <row r="12" spans="1:8" ht="21" x14ac:dyDescent="0.7">
      <c r="A12" s="2">
        <v>11</v>
      </c>
      <c r="B12" s="8" t="s">
        <v>21</v>
      </c>
      <c r="C12" s="10" t="s">
        <v>206</v>
      </c>
      <c r="D12" s="3"/>
      <c r="E12" s="3">
        <v>15</v>
      </c>
      <c r="F12" s="3">
        <f t="shared" si="1"/>
        <v>237</v>
      </c>
      <c r="G12" s="3">
        <v>3804</v>
      </c>
      <c r="H12" s="5" t="s">
        <v>121</v>
      </c>
    </row>
    <row r="13" spans="1:8" ht="21" x14ac:dyDescent="0.7">
      <c r="A13" s="2">
        <v>12</v>
      </c>
      <c r="B13" s="8" t="s">
        <v>21</v>
      </c>
      <c r="C13" s="10" t="s">
        <v>207</v>
      </c>
      <c r="D13" s="3"/>
      <c r="E13" s="3">
        <v>30</v>
      </c>
      <c r="F13" s="3">
        <f t="shared" si="1"/>
        <v>207</v>
      </c>
      <c r="G13" s="3">
        <v>3805</v>
      </c>
      <c r="H13" s="5" t="s">
        <v>117</v>
      </c>
    </row>
    <row r="14" spans="1:8" ht="21" x14ac:dyDescent="0.7">
      <c r="A14" s="2">
        <v>13</v>
      </c>
      <c r="B14" s="8" t="s">
        <v>21</v>
      </c>
      <c r="C14" s="10" t="s">
        <v>222</v>
      </c>
      <c r="D14" s="3"/>
      <c r="E14" s="3">
        <v>20</v>
      </c>
      <c r="F14" s="3">
        <f t="shared" si="1"/>
        <v>187</v>
      </c>
      <c r="G14" s="3">
        <v>3837</v>
      </c>
      <c r="H14" s="5" t="s">
        <v>117</v>
      </c>
    </row>
    <row r="15" spans="1:8" ht="21" x14ac:dyDescent="0.7">
      <c r="A15" s="2">
        <v>14</v>
      </c>
      <c r="B15" s="8" t="s">
        <v>21</v>
      </c>
      <c r="C15" s="10" t="s">
        <v>226</v>
      </c>
      <c r="D15" s="3"/>
      <c r="E15" s="3">
        <v>1</v>
      </c>
      <c r="F15" s="3">
        <f t="shared" ref="F15:F20" si="2">F14-E15</f>
        <v>186</v>
      </c>
      <c r="G15" s="3" t="s">
        <v>227</v>
      </c>
      <c r="H15" s="5" t="s">
        <v>55</v>
      </c>
    </row>
    <row r="16" spans="1:8" ht="21" x14ac:dyDescent="0.7">
      <c r="A16" s="2">
        <v>15</v>
      </c>
      <c r="B16" s="8" t="s">
        <v>21</v>
      </c>
      <c r="C16" s="10" t="s">
        <v>233</v>
      </c>
      <c r="D16" s="3"/>
      <c r="E16" s="3">
        <v>60</v>
      </c>
      <c r="F16" s="3">
        <f t="shared" si="2"/>
        <v>126</v>
      </c>
      <c r="G16" s="3">
        <v>3860</v>
      </c>
      <c r="H16" s="5" t="s">
        <v>117</v>
      </c>
    </row>
    <row r="17" spans="1:8" ht="21" x14ac:dyDescent="0.7">
      <c r="A17" s="2">
        <v>16</v>
      </c>
      <c r="B17" s="8" t="s">
        <v>21</v>
      </c>
      <c r="C17" s="10" t="s">
        <v>240</v>
      </c>
      <c r="D17" s="3"/>
      <c r="E17" s="3">
        <v>4</v>
      </c>
      <c r="F17" s="3">
        <f t="shared" si="2"/>
        <v>122</v>
      </c>
      <c r="G17" s="3" t="s">
        <v>241</v>
      </c>
      <c r="H17" s="5" t="s">
        <v>55</v>
      </c>
    </row>
    <row r="18" spans="1:8" ht="21" x14ac:dyDescent="0.7">
      <c r="A18" s="2">
        <v>17</v>
      </c>
      <c r="B18" s="8" t="s">
        <v>21</v>
      </c>
      <c r="C18" s="10" t="s">
        <v>242</v>
      </c>
      <c r="D18" s="3"/>
      <c r="E18" s="3">
        <v>19</v>
      </c>
      <c r="F18" s="3">
        <f t="shared" si="2"/>
        <v>103</v>
      </c>
      <c r="G18" s="3" t="s">
        <v>244</v>
      </c>
      <c r="H18" s="5" t="s">
        <v>243</v>
      </c>
    </row>
    <row r="19" spans="1:8" ht="21" x14ac:dyDescent="0.7">
      <c r="A19" s="2">
        <v>18</v>
      </c>
      <c r="B19" s="8" t="s">
        <v>21</v>
      </c>
      <c r="C19" s="10" t="s">
        <v>264</v>
      </c>
      <c r="D19" s="3"/>
      <c r="E19" s="3">
        <v>18</v>
      </c>
      <c r="F19" s="3">
        <f t="shared" si="2"/>
        <v>85</v>
      </c>
      <c r="G19" s="3">
        <v>3875</v>
      </c>
      <c r="H19" s="5" t="s">
        <v>121</v>
      </c>
    </row>
    <row r="20" spans="1:8" ht="21" x14ac:dyDescent="0.7">
      <c r="A20" s="2">
        <v>19</v>
      </c>
      <c r="B20" s="8" t="s">
        <v>21</v>
      </c>
      <c r="C20" s="10" t="s">
        <v>288</v>
      </c>
      <c r="D20" s="3"/>
      <c r="E20" s="3">
        <v>20</v>
      </c>
      <c r="F20" s="3">
        <f t="shared" si="2"/>
        <v>65</v>
      </c>
      <c r="G20" s="3">
        <v>3905</v>
      </c>
      <c r="H20" s="5" t="s">
        <v>117</v>
      </c>
    </row>
    <row r="21" spans="1:8" ht="21" x14ac:dyDescent="0.7">
      <c r="A21" s="2">
        <v>20</v>
      </c>
      <c r="B21" s="8" t="s">
        <v>21</v>
      </c>
      <c r="C21" s="10" t="s">
        <v>299</v>
      </c>
      <c r="D21" s="3"/>
      <c r="E21" s="3">
        <v>20</v>
      </c>
      <c r="F21" s="3">
        <f t="shared" ref="F21:F26" si="3">F20-E21</f>
        <v>45</v>
      </c>
      <c r="G21" s="3">
        <v>3919</v>
      </c>
      <c r="H21" s="5" t="s">
        <v>121</v>
      </c>
    </row>
    <row r="22" spans="1:8" ht="21" x14ac:dyDescent="0.7">
      <c r="A22" s="2">
        <v>21</v>
      </c>
      <c r="B22" s="8" t="s">
        <v>21</v>
      </c>
      <c r="C22" s="10" t="s">
        <v>299</v>
      </c>
      <c r="D22" s="3"/>
      <c r="E22" s="3">
        <v>18</v>
      </c>
      <c r="F22" s="3">
        <f t="shared" si="3"/>
        <v>27</v>
      </c>
      <c r="G22" s="3">
        <v>3920</v>
      </c>
      <c r="H22" s="5" t="s">
        <v>43</v>
      </c>
    </row>
    <row r="23" spans="1:8" ht="21" x14ac:dyDescent="0.7">
      <c r="A23" s="2">
        <v>22</v>
      </c>
      <c r="B23" s="8" t="s">
        <v>21</v>
      </c>
      <c r="C23" s="10" t="s">
        <v>306</v>
      </c>
      <c r="D23" s="3"/>
      <c r="E23" s="3">
        <v>4</v>
      </c>
      <c r="F23" s="3">
        <f t="shared" si="3"/>
        <v>23</v>
      </c>
      <c r="G23" s="3">
        <v>3927</v>
      </c>
      <c r="H23" s="5" t="s">
        <v>43</v>
      </c>
    </row>
    <row r="24" spans="1:8" ht="21" x14ac:dyDescent="0.7">
      <c r="A24" s="2">
        <v>23</v>
      </c>
      <c r="B24" s="8" t="s">
        <v>21</v>
      </c>
      <c r="C24" s="10" t="s">
        <v>307</v>
      </c>
      <c r="D24" s="3"/>
      <c r="E24" s="3">
        <v>1</v>
      </c>
      <c r="F24" s="3">
        <f t="shared" si="3"/>
        <v>22</v>
      </c>
      <c r="G24" s="3">
        <v>3929</v>
      </c>
      <c r="H24" s="5" t="s">
        <v>308</v>
      </c>
    </row>
    <row r="25" spans="1:8" ht="21" x14ac:dyDescent="0.7">
      <c r="A25" s="2">
        <v>24</v>
      </c>
      <c r="B25" s="8" t="s">
        <v>21</v>
      </c>
      <c r="C25" s="10" t="s">
        <v>310</v>
      </c>
      <c r="D25" s="3"/>
      <c r="E25" s="3">
        <v>2</v>
      </c>
      <c r="F25" s="3">
        <f t="shared" si="3"/>
        <v>20</v>
      </c>
      <c r="G25" s="3">
        <v>3930</v>
      </c>
      <c r="H25" s="5" t="s">
        <v>311</v>
      </c>
    </row>
    <row r="26" spans="1:8" ht="21" x14ac:dyDescent="0.7">
      <c r="A26" s="2">
        <v>25</v>
      </c>
      <c r="B26" s="8" t="s">
        <v>21</v>
      </c>
      <c r="C26" s="10" t="s">
        <v>324</v>
      </c>
      <c r="D26" s="3"/>
      <c r="E26" s="3">
        <v>3</v>
      </c>
      <c r="F26" s="3">
        <f t="shared" si="3"/>
        <v>17</v>
      </c>
      <c r="G26" s="3">
        <v>3954</v>
      </c>
      <c r="H26" s="5" t="s">
        <v>128</v>
      </c>
    </row>
    <row r="27" spans="1:8" ht="21" x14ac:dyDescent="0.7">
      <c r="A27" s="2">
        <v>26</v>
      </c>
      <c r="B27" s="8" t="s">
        <v>21</v>
      </c>
      <c r="C27" s="10" t="s">
        <v>330</v>
      </c>
      <c r="D27" s="3"/>
      <c r="E27" s="3">
        <v>4</v>
      </c>
      <c r="F27" s="3">
        <f>F26-E27</f>
        <v>13</v>
      </c>
      <c r="G27" s="3" t="s">
        <v>331</v>
      </c>
      <c r="H27" s="5" t="s">
        <v>55</v>
      </c>
    </row>
    <row r="28" spans="1:8" ht="21" x14ac:dyDescent="0.7">
      <c r="A28" s="2">
        <v>27</v>
      </c>
      <c r="B28" s="8" t="s">
        <v>21</v>
      </c>
      <c r="C28" s="10" t="s">
        <v>335</v>
      </c>
      <c r="D28" s="3"/>
      <c r="E28" s="3">
        <v>2</v>
      </c>
      <c r="F28" s="3">
        <f>F27-E28</f>
        <v>11</v>
      </c>
      <c r="G28" s="3" t="s">
        <v>336</v>
      </c>
      <c r="H28" s="5" t="s">
        <v>55</v>
      </c>
    </row>
    <row r="29" spans="1:8" ht="20.25" customHeight="1" x14ac:dyDescent="0.3">
      <c r="A29" s="2">
        <v>28</v>
      </c>
      <c r="B29" s="8" t="s">
        <v>21</v>
      </c>
      <c r="C29" s="10"/>
      <c r="D29" s="3">
        <v>120</v>
      </c>
      <c r="E29" s="3"/>
      <c r="F29" s="3">
        <f>F28+D29</f>
        <v>131</v>
      </c>
      <c r="G29" s="46" t="s">
        <v>341</v>
      </c>
      <c r="H29" s="47"/>
    </row>
    <row r="30" spans="1:8" ht="21" x14ac:dyDescent="0.7">
      <c r="A30" s="2">
        <v>29</v>
      </c>
      <c r="B30" s="8" t="s">
        <v>21</v>
      </c>
      <c r="C30" s="10" t="s">
        <v>364</v>
      </c>
      <c r="D30" s="3"/>
      <c r="E30" s="3">
        <v>1</v>
      </c>
      <c r="F30" s="3">
        <f t="shared" ref="F30:F35" si="4">F29-E30</f>
        <v>130</v>
      </c>
      <c r="G30" s="3" t="s">
        <v>366</v>
      </c>
      <c r="H30" s="5" t="s">
        <v>55</v>
      </c>
    </row>
    <row r="31" spans="1:8" ht="21" x14ac:dyDescent="0.7">
      <c r="A31" s="2">
        <v>30</v>
      </c>
      <c r="B31" s="8" t="s">
        <v>21</v>
      </c>
      <c r="C31" s="10" t="s">
        <v>369</v>
      </c>
      <c r="D31" s="3"/>
      <c r="E31" s="3">
        <v>35</v>
      </c>
      <c r="F31" s="3">
        <f t="shared" si="4"/>
        <v>95</v>
      </c>
      <c r="G31" s="3">
        <v>4025</v>
      </c>
      <c r="H31" s="5" t="s">
        <v>277</v>
      </c>
    </row>
    <row r="32" spans="1:8" ht="21" x14ac:dyDescent="0.7">
      <c r="A32" s="2">
        <v>31</v>
      </c>
      <c r="B32" s="8" t="s">
        <v>21</v>
      </c>
      <c r="C32" s="10" t="s">
        <v>381</v>
      </c>
      <c r="D32" s="3"/>
      <c r="E32" s="3">
        <v>20</v>
      </c>
      <c r="F32" s="3">
        <f t="shared" si="4"/>
        <v>75</v>
      </c>
      <c r="G32" s="3">
        <v>4067</v>
      </c>
      <c r="H32" s="5" t="s">
        <v>121</v>
      </c>
    </row>
    <row r="33" spans="1:8" ht="21" x14ac:dyDescent="0.7">
      <c r="A33" s="2">
        <v>32</v>
      </c>
      <c r="B33" s="8" t="s">
        <v>21</v>
      </c>
      <c r="C33" s="10" t="s">
        <v>403</v>
      </c>
      <c r="D33" s="3"/>
      <c r="E33" s="3">
        <v>4</v>
      </c>
      <c r="F33" s="3">
        <f t="shared" si="4"/>
        <v>71</v>
      </c>
      <c r="G33" s="3" t="s">
        <v>404</v>
      </c>
      <c r="H33" s="5" t="s">
        <v>55</v>
      </c>
    </row>
    <row r="34" spans="1:8" ht="21" x14ac:dyDescent="0.7">
      <c r="A34" s="2">
        <v>33</v>
      </c>
      <c r="B34" s="8" t="s">
        <v>21</v>
      </c>
      <c r="C34" s="10" t="s">
        <v>432</v>
      </c>
      <c r="D34" s="3"/>
      <c r="E34" s="3">
        <v>10</v>
      </c>
      <c r="F34" s="3">
        <f t="shared" si="4"/>
        <v>61</v>
      </c>
      <c r="G34" s="3">
        <v>4128</v>
      </c>
      <c r="H34" s="5" t="s">
        <v>121</v>
      </c>
    </row>
    <row r="35" spans="1:8" ht="21" x14ac:dyDescent="0.7">
      <c r="A35" s="2">
        <v>34</v>
      </c>
      <c r="B35" s="8" t="s">
        <v>21</v>
      </c>
      <c r="C35" s="10" t="s">
        <v>453</v>
      </c>
      <c r="D35" s="3"/>
      <c r="E35" s="3">
        <v>15</v>
      </c>
      <c r="F35" s="3">
        <f t="shared" si="4"/>
        <v>46</v>
      </c>
      <c r="G35" s="3">
        <v>4146</v>
      </c>
      <c r="H35" s="5" t="s">
        <v>277</v>
      </c>
    </row>
    <row r="36" spans="1:8" ht="21" x14ac:dyDescent="0.7">
      <c r="A36" s="2">
        <v>35</v>
      </c>
      <c r="B36" s="8" t="s">
        <v>21</v>
      </c>
      <c r="C36" s="10" t="s">
        <v>461</v>
      </c>
      <c r="D36" s="3"/>
      <c r="E36" s="3">
        <v>3</v>
      </c>
      <c r="F36" s="3">
        <f>F35-E36</f>
        <v>43</v>
      </c>
      <c r="G36" s="3" t="s">
        <v>463</v>
      </c>
      <c r="H36" s="5" t="s">
        <v>55</v>
      </c>
    </row>
    <row r="37" spans="1:8" ht="21" x14ac:dyDescent="0.7">
      <c r="A37" s="2">
        <v>36</v>
      </c>
      <c r="B37" s="8" t="s">
        <v>21</v>
      </c>
      <c r="C37" s="10" t="s">
        <v>481</v>
      </c>
      <c r="D37" s="3"/>
      <c r="E37" s="3">
        <v>1</v>
      </c>
      <c r="F37" s="3">
        <f>F36-E37</f>
        <v>42</v>
      </c>
      <c r="G37" s="3">
        <v>4200</v>
      </c>
      <c r="H37" s="5" t="s">
        <v>484</v>
      </c>
    </row>
    <row r="38" spans="1:8" ht="21.75" customHeight="1" x14ac:dyDescent="0.3">
      <c r="A38" s="2">
        <v>37</v>
      </c>
      <c r="B38" s="8" t="s">
        <v>21</v>
      </c>
      <c r="C38" s="10" t="s">
        <v>495</v>
      </c>
      <c r="D38" s="3">
        <v>240</v>
      </c>
      <c r="E38" s="3"/>
      <c r="F38" s="3">
        <f>F37+D38</f>
        <v>282</v>
      </c>
      <c r="G38" s="16"/>
      <c r="H38" s="16" t="s">
        <v>497</v>
      </c>
    </row>
    <row r="39" spans="1:8" ht="21" x14ac:dyDescent="0.7">
      <c r="A39" s="2">
        <v>38</v>
      </c>
      <c r="B39" s="8" t="s">
        <v>21</v>
      </c>
      <c r="C39" s="10" t="s">
        <v>501</v>
      </c>
      <c r="D39" s="3"/>
      <c r="E39" s="3">
        <v>6</v>
      </c>
      <c r="F39" s="3">
        <f t="shared" ref="F39:F44" si="5">F38-E39</f>
        <v>276</v>
      </c>
      <c r="G39" s="3">
        <v>4207</v>
      </c>
      <c r="H39" s="5" t="s">
        <v>502</v>
      </c>
    </row>
    <row r="40" spans="1:8" ht="21" x14ac:dyDescent="0.7">
      <c r="A40" s="2">
        <v>39</v>
      </c>
      <c r="B40" s="8" t="s">
        <v>21</v>
      </c>
      <c r="C40" s="10" t="s">
        <v>505</v>
      </c>
      <c r="D40" s="3"/>
      <c r="E40" s="3">
        <v>8</v>
      </c>
      <c r="F40" s="3">
        <f t="shared" si="5"/>
        <v>268</v>
      </c>
      <c r="G40" s="3">
        <v>4215</v>
      </c>
      <c r="H40" s="5" t="s">
        <v>121</v>
      </c>
    </row>
    <row r="41" spans="1:8" ht="21" x14ac:dyDescent="0.7">
      <c r="A41" s="2">
        <v>40</v>
      </c>
      <c r="B41" s="8" t="s">
        <v>21</v>
      </c>
      <c r="C41" s="10" t="s">
        <v>511</v>
      </c>
      <c r="D41" s="3"/>
      <c r="E41" s="3">
        <v>1</v>
      </c>
      <c r="F41" s="3">
        <f t="shared" si="5"/>
        <v>267</v>
      </c>
      <c r="G41" s="3" t="s">
        <v>512</v>
      </c>
      <c r="H41" s="5" t="s">
        <v>55</v>
      </c>
    </row>
    <row r="42" spans="1:8" ht="21" x14ac:dyDescent="0.7">
      <c r="A42" s="2">
        <v>41</v>
      </c>
      <c r="B42" s="8" t="s">
        <v>21</v>
      </c>
      <c r="C42" s="10" t="s">
        <v>556</v>
      </c>
      <c r="D42" s="3"/>
      <c r="E42" s="3">
        <v>3</v>
      </c>
      <c r="F42" s="3">
        <f t="shared" si="5"/>
        <v>264</v>
      </c>
      <c r="G42" s="3">
        <v>4272</v>
      </c>
      <c r="H42" s="5" t="s">
        <v>311</v>
      </c>
    </row>
    <row r="43" spans="1:8" ht="21" x14ac:dyDescent="0.7">
      <c r="A43" s="2">
        <v>42</v>
      </c>
      <c r="B43" s="8" t="s">
        <v>21</v>
      </c>
      <c r="C43" s="10" t="s">
        <v>574</v>
      </c>
      <c r="D43" s="3"/>
      <c r="E43" s="3">
        <v>9</v>
      </c>
      <c r="F43" s="3">
        <f t="shared" si="5"/>
        <v>255</v>
      </c>
      <c r="G43" s="3">
        <v>4302</v>
      </c>
      <c r="H43" s="5" t="s">
        <v>575</v>
      </c>
    </row>
    <row r="44" spans="1:8" ht="21" x14ac:dyDescent="0.7">
      <c r="A44" s="2">
        <v>43</v>
      </c>
      <c r="B44" s="8" t="s">
        <v>21</v>
      </c>
      <c r="C44" s="10" t="s">
        <v>576</v>
      </c>
      <c r="D44" s="3"/>
      <c r="E44" s="3">
        <v>5</v>
      </c>
      <c r="F44" s="3">
        <f t="shared" si="5"/>
        <v>250</v>
      </c>
      <c r="G44" s="3" t="s">
        <v>577</v>
      </c>
      <c r="H44" s="5" t="s">
        <v>579</v>
      </c>
    </row>
    <row r="45" spans="1:8" ht="21" x14ac:dyDescent="0.7">
      <c r="A45" s="2">
        <v>44</v>
      </c>
      <c r="B45" s="8" t="s">
        <v>21</v>
      </c>
      <c r="C45" s="10" t="s">
        <v>585</v>
      </c>
      <c r="D45" s="3"/>
      <c r="E45" s="3">
        <v>2</v>
      </c>
      <c r="F45" s="3">
        <f t="shared" ref="F45:F50" si="6">F44-E45</f>
        <v>248</v>
      </c>
      <c r="G45" s="3" t="s">
        <v>586</v>
      </c>
      <c r="H45" s="5" t="s">
        <v>579</v>
      </c>
    </row>
    <row r="46" spans="1:8" ht="21" x14ac:dyDescent="0.7">
      <c r="A46" s="2">
        <v>45</v>
      </c>
      <c r="B46" s="8" t="s">
        <v>21</v>
      </c>
      <c r="C46" s="10" t="s">
        <v>613</v>
      </c>
      <c r="D46" s="3"/>
      <c r="E46" s="3">
        <v>2</v>
      </c>
      <c r="F46" s="3">
        <f t="shared" si="6"/>
        <v>246</v>
      </c>
      <c r="G46" s="3">
        <v>4331</v>
      </c>
      <c r="H46" s="5" t="s">
        <v>614</v>
      </c>
    </row>
    <row r="47" spans="1:8" ht="21" x14ac:dyDescent="0.7">
      <c r="A47" s="2">
        <v>46</v>
      </c>
      <c r="B47" s="8" t="s">
        <v>21</v>
      </c>
      <c r="C47" s="10" t="s">
        <v>626</v>
      </c>
      <c r="D47" s="3"/>
      <c r="E47" s="3">
        <v>80</v>
      </c>
      <c r="F47" s="3">
        <f t="shared" si="6"/>
        <v>166</v>
      </c>
      <c r="G47" s="3">
        <v>4341</v>
      </c>
      <c r="H47" s="5" t="s">
        <v>628</v>
      </c>
    </row>
    <row r="48" spans="1:8" ht="21" x14ac:dyDescent="0.7">
      <c r="A48" s="2">
        <v>47</v>
      </c>
      <c r="B48" s="8" t="s">
        <v>21</v>
      </c>
      <c r="C48" s="10" t="s">
        <v>631</v>
      </c>
      <c r="D48" s="3"/>
      <c r="E48" s="3">
        <v>1</v>
      </c>
      <c r="F48" s="3">
        <f t="shared" si="6"/>
        <v>165</v>
      </c>
      <c r="G48" s="3">
        <v>4354</v>
      </c>
      <c r="H48" s="5" t="s">
        <v>614</v>
      </c>
    </row>
    <row r="49" spans="1:8" ht="21" x14ac:dyDescent="0.7">
      <c r="A49" s="2">
        <v>48</v>
      </c>
      <c r="B49" s="8" t="s">
        <v>21</v>
      </c>
      <c r="C49" s="10" t="s">
        <v>637</v>
      </c>
      <c r="D49" s="3"/>
      <c r="E49" s="3">
        <v>1</v>
      </c>
      <c r="F49" s="3">
        <f t="shared" si="6"/>
        <v>164</v>
      </c>
      <c r="G49" s="3" t="s">
        <v>638</v>
      </c>
      <c r="H49" s="5" t="s">
        <v>55</v>
      </c>
    </row>
    <row r="50" spans="1:8" ht="21" x14ac:dyDescent="0.7">
      <c r="A50" s="2">
        <v>49</v>
      </c>
      <c r="B50" s="8" t="s">
        <v>21</v>
      </c>
      <c r="C50" s="10" t="s">
        <v>635</v>
      </c>
      <c r="D50" s="3"/>
      <c r="E50" s="3">
        <v>2</v>
      </c>
      <c r="F50" s="3">
        <f t="shared" si="6"/>
        <v>162</v>
      </c>
      <c r="G50" s="3">
        <v>4356</v>
      </c>
      <c r="H50" s="5" t="s">
        <v>639</v>
      </c>
    </row>
    <row r="51" spans="1:8" ht="21" x14ac:dyDescent="0.7">
      <c r="A51" s="2">
        <v>50</v>
      </c>
      <c r="B51" s="8" t="s">
        <v>21</v>
      </c>
      <c r="C51" s="10" t="s">
        <v>648</v>
      </c>
      <c r="D51" s="3"/>
      <c r="E51" s="3">
        <v>1</v>
      </c>
      <c r="F51" s="3">
        <f t="shared" ref="F51:F56" si="7">F50-E51</f>
        <v>161</v>
      </c>
      <c r="G51" s="3">
        <v>4367</v>
      </c>
      <c r="H51" s="5" t="s">
        <v>308</v>
      </c>
    </row>
    <row r="52" spans="1:8" ht="21" x14ac:dyDescent="0.7">
      <c r="A52" s="2">
        <v>51</v>
      </c>
      <c r="B52" s="8" t="s">
        <v>21</v>
      </c>
      <c r="C52" s="10" t="s">
        <v>649</v>
      </c>
      <c r="D52" s="3"/>
      <c r="E52" s="3">
        <v>3</v>
      </c>
      <c r="F52" s="3">
        <f t="shared" si="7"/>
        <v>158</v>
      </c>
      <c r="G52" s="3" t="s">
        <v>650</v>
      </c>
      <c r="H52" s="5" t="s">
        <v>55</v>
      </c>
    </row>
    <row r="53" spans="1:8" ht="21" x14ac:dyDescent="0.7">
      <c r="A53" s="2">
        <v>52</v>
      </c>
      <c r="B53" s="8" t="s">
        <v>21</v>
      </c>
      <c r="C53" s="10" t="s">
        <v>651</v>
      </c>
      <c r="D53" s="3"/>
      <c r="E53" s="3">
        <v>1</v>
      </c>
      <c r="F53" s="3">
        <f t="shared" si="7"/>
        <v>157</v>
      </c>
      <c r="G53" s="3" t="s">
        <v>652</v>
      </c>
      <c r="H53" s="5" t="s">
        <v>55</v>
      </c>
    </row>
    <row r="54" spans="1:8" ht="21" x14ac:dyDescent="0.7">
      <c r="A54" s="2">
        <v>53</v>
      </c>
      <c r="B54" s="8" t="s">
        <v>21</v>
      </c>
      <c r="C54" s="10" t="s">
        <v>696</v>
      </c>
      <c r="D54" s="3"/>
      <c r="E54" s="3">
        <v>1</v>
      </c>
      <c r="F54" s="3">
        <f t="shared" si="7"/>
        <v>156</v>
      </c>
      <c r="G54" s="3">
        <v>4449</v>
      </c>
      <c r="H54" s="5" t="s">
        <v>80</v>
      </c>
    </row>
    <row r="55" spans="1:8" ht="21" x14ac:dyDescent="0.7">
      <c r="A55" s="2">
        <v>54</v>
      </c>
      <c r="B55" s="8" t="s">
        <v>21</v>
      </c>
      <c r="C55" s="10" t="s">
        <v>709</v>
      </c>
      <c r="D55" s="3"/>
      <c r="E55" s="3">
        <v>24</v>
      </c>
      <c r="F55" s="3">
        <f t="shared" si="7"/>
        <v>132</v>
      </c>
      <c r="G55" s="3">
        <v>4468</v>
      </c>
      <c r="H55" s="5" t="s">
        <v>628</v>
      </c>
    </row>
    <row r="56" spans="1:8" ht="21" x14ac:dyDescent="0.7">
      <c r="A56" s="2">
        <v>55</v>
      </c>
      <c r="B56" s="8" t="s">
        <v>21</v>
      </c>
      <c r="C56" s="10" t="s">
        <v>716</v>
      </c>
      <c r="D56" s="3"/>
      <c r="E56" s="3">
        <v>3</v>
      </c>
      <c r="F56" s="3">
        <f t="shared" si="7"/>
        <v>129</v>
      </c>
      <c r="G56" s="3">
        <v>4473</v>
      </c>
      <c r="H56" s="5" t="s">
        <v>718</v>
      </c>
    </row>
    <row r="57" spans="1:8" ht="21" x14ac:dyDescent="0.7">
      <c r="A57" s="2">
        <v>56</v>
      </c>
      <c r="B57" s="8" t="s">
        <v>21</v>
      </c>
      <c r="C57" s="10" t="s">
        <v>724</v>
      </c>
      <c r="D57" s="3"/>
      <c r="E57" s="3">
        <v>15</v>
      </c>
      <c r="F57" s="3">
        <f t="shared" ref="F57:F62" si="8">F56-E57</f>
        <v>114</v>
      </c>
      <c r="G57" s="3">
        <v>4482</v>
      </c>
      <c r="H57" s="5" t="s">
        <v>43</v>
      </c>
    </row>
    <row r="58" spans="1:8" ht="21" x14ac:dyDescent="0.7">
      <c r="A58" s="2">
        <v>57</v>
      </c>
      <c r="B58" s="8" t="s">
        <v>21</v>
      </c>
      <c r="C58" s="10" t="s">
        <v>732</v>
      </c>
      <c r="D58" s="3"/>
      <c r="E58" s="3">
        <v>1</v>
      </c>
      <c r="F58" s="3">
        <f t="shared" si="8"/>
        <v>113</v>
      </c>
      <c r="G58" s="3">
        <v>4486</v>
      </c>
      <c r="H58" s="5" t="s">
        <v>308</v>
      </c>
    </row>
    <row r="59" spans="1:8" ht="21" x14ac:dyDescent="0.7">
      <c r="A59" s="2">
        <v>58</v>
      </c>
      <c r="B59" s="8" t="s">
        <v>21</v>
      </c>
      <c r="C59" s="10" t="s">
        <v>733</v>
      </c>
      <c r="D59" s="3"/>
      <c r="E59" s="3">
        <v>7</v>
      </c>
      <c r="F59" s="3">
        <f t="shared" si="8"/>
        <v>106</v>
      </c>
      <c r="G59" s="3">
        <v>4494</v>
      </c>
      <c r="H59" s="5" t="s">
        <v>308</v>
      </c>
    </row>
    <row r="60" spans="1:8" ht="21" x14ac:dyDescent="0.7">
      <c r="A60" s="2">
        <v>59</v>
      </c>
      <c r="B60" s="8" t="s">
        <v>21</v>
      </c>
      <c r="C60" s="10" t="s">
        <v>782</v>
      </c>
      <c r="D60" s="3"/>
      <c r="E60" s="3">
        <v>3</v>
      </c>
      <c r="F60" s="3">
        <f t="shared" si="8"/>
        <v>103</v>
      </c>
      <c r="G60" s="3" t="s">
        <v>783</v>
      </c>
      <c r="H60" s="5" t="s">
        <v>55</v>
      </c>
    </row>
    <row r="61" spans="1:8" ht="21" x14ac:dyDescent="0.7">
      <c r="A61" s="2">
        <v>60</v>
      </c>
      <c r="B61" s="8" t="s">
        <v>21</v>
      </c>
      <c r="C61" s="10" t="s">
        <v>782</v>
      </c>
      <c r="D61" s="3"/>
      <c r="E61" s="3">
        <v>5</v>
      </c>
      <c r="F61" s="3">
        <f t="shared" si="8"/>
        <v>98</v>
      </c>
      <c r="G61" s="3">
        <v>4586</v>
      </c>
      <c r="H61" s="5" t="s">
        <v>575</v>
      </c>
    </row>
    <row r="62" spans="1:8" ht="21" x14ac:dyDescent="0.7">
      <c r="A62" s="2">
        <v>61</v>
      </c>
      <c r="B62" s="8" t="s">
        <v>21</v>
      </c>
      <c r="C62" s="10" t="s">
        <v>795</v>
      </c>
      <c r="D62" s="3"/>
      <c r="E62" s="3">
        <v>6</v>
      </c>
      <c r="F62" s="3">
        <f t="shared" si="8"/>
        <v>92</v>
      </c>
      <c r="G62" s="3">
        <v>4596</v>
      </c>
      <c r="H62" s="5" t="s">
        <v>308</v>
      </c>
    </row>
    <row r="63" spans="1:8" ht="21" x14ac:dyDescent="0.7">
      <c r="A63" s="2">
        <v>62</v>
      </c>
      <c r="B63" s="8" t="s">
        <v>21</v>
      </c>
      <c r="C63" s="10" t="s">
        <v>805</v>
      </c>
      <c r="D63" s="3"/>
      <c r="E63" s="3">
        <v>1</v>
      </c>
      <c r="F63" s="3">
        <f t="shared" ref="F63:F68" si="9">F62-E63</f>
        <v>91</v>
      </c>
      <c r="G63" s="3">
        <v>4617</v>
      </c>
      <c r="H63" s="5" t="s">
        <v>811</v>
      </c>
    </row>
    <row r="64" spans="1:8" ht="21" x14ac:dyDescent="0.7">
      <c r="A64" s="2">
        <v>63</v>
      </c>
      <c r="B64" s="8" t="s">
        <v>21</v>
      </c>
      <c r="C64" s="10" t="s">
        <v>829</v>
      </c>
      <c r="D64" s="3"/>
      <c r="E64" s="3">
        <v>1</v>
      </c>
      <c r="F64" s="3">
        <f t="shared" si="9"/>
        <v>90</v>
      </c>
      <c r="G64" s="3">
        <v>4633</v>
      </c>
      <c r="H64" s="5" t="s">
        <v>311</v>
      </c>
    </row>
    <row r="65" spans="1:9" ht="21" x14ac:dyDescent="0.7">
      <c r="A65" s="2">
        <v>64</v>
      </c>
      <c r="B65" s="8" t="s">
        <v>21</v>
      </c>
      <c r="C65" s="10" t="s">
        <v>887</v>
      </c>
      <c r="D65" s="3"/>
      <c r="E65" s="3">
        <v>1</v>
      </c>
      <c r="F65" s="3">
        <f t="shared" si="9"/>
        <v>89</v>
      </c>
      <c r="G65" s="3">
        <v>4721</v>
      </c>
      <c r="H65" s="5" t="s">
        <v>888</v>
      </c>
    </row>
    <row r="66" spans="1:9" ht="21" x14ac:dyDescent="0.7">
      <c r="A66" s="2">
        <v>65</v>
      </c>
      <c r="B66" s="8" t="s">
        <v>21</v>
      </c>
      <c r="C66" s="10" t="s">
        <v>920</v>
      </c>
      <c r="D66" s="3"/>
      <c r="E66" s="3">
        <v>1</v>
      </c>
      <c r="F66" s="3">
        <f t="shared" si="9"/>
        <v>88</v>
      </c>
      <c r="G66" s="3" t="s">
        <v>922</v>
      </c>
      <c r="H66" s="5" t="s">
        <v>436</v>
      </c>
    </row>
    <row r="67" spans="1:9" ht="21" x14ac:dyDescent="0.7">
      <c r="A67" s="2">
        <v>66</v>
      </c>
      <c r="B67" s="8" t="s">
        <v>21</v>
      </c>
      <c r="C67" s="10" t="s">
        <v>918</v>
      </c>
      <c r="D67" s="3"/>
      <c r="E67" s="3">
        <v>6</v>
      </c>
      <c r="F67" s="3">
        <f t="shared" si="9"/>
        <v>82</v>
      </c>
      <c r="G67" s="3">
        <v>4745</v>
      </c>
      <c r="H67" s="5" t="s">
        <v>929</v>
      </c>
    </row>
    <row r="68" spans="1:9" ht="21" x14ac:dyDescent="0.7">
      <c r="A68" s="2">
        <v>67</v>
      </c>
      <c r="B68" s="8" t="s">
        <v>21</v>
      </c>
      <c r="C68" s="10" t="s">
        <v>945</v>
      </c>
      <c r="D68" s="3"/>
      <c r="E68" s="3">
        <v>2</v>
      </c>
      <c r="F68" s="3">
        <f t="shared" si="9"/>
        <v>80</v>
      </c>
      <c r="G68" s="3">
        <v>4766</v>
      </c>
      <c r="H68" s="5" t="s">
        <v>614</v>
      </c>
    </row>
    <row r="69" spans="1:9" ht="21" x14ac:dyDescent="0.7">
      <c r="A69" s="2">
        <v>68</v>
      </c>
      <c r="B69" s="8" t="s">
        <v>21</v>
      </c>
      <c r="C69" s="10" t="s">
        <v>965</v>
      </c>
      <c r="D69" s="3"/>
      <c r="E69" s="3">
        <v>1</v>
      </c>
      <c r="F69" s="3">
        <f t="shared" ref="F69:F74" si="10">F68-E69</f>
        <v>79</v>
      </c>
      <c r="G69" s="3"/>
      <c r="H69" s="5" t="s">
        <v>676</v>
      </c>
      <c r="I69" t="s">
        <v>966</v>
      </c>
    </row>
    <row r="70" spans="1:9" ht="21" x14ac:dyDescent="0.7">
      <c r="A70" s="2">
        <v>69</v>
      </c>
      <c r="B70" s="8" t="s">
        <v>21</v>
      </c>
      <c r="C70" s="10" t="s">
        <v>968</v>
      </c>
      <c r="D70" s="3"/>
      <c r="E70" s="3">
        <v>1</v>
      </c>
      <c r="F70" s="3">
        <f t="shared" si="10"/>
        <v>78</v>
      </c>
      <c r="G70" s="3">
        <v>4813</v>
      </c>
      <c r="H70" s="5" t="s">
        <v>311</v>
      </c>
    </row>
    <row r="71" spans="1:9" ht="21" x14ac:dyDescent="0.7">
      <c r="A71" s="2">
        <v>70</v>
      </c>
      <c r="B71" s="8" t="s">
        <v>21</v>
      </c>
      <c r="C71" s="10" t="s">
        <v>975</v>
      </c>
      <c r="D71" s="3"/>
      <c r="E71" s="3">
        <v>2</v>
      </c>
      <c r="F71" s="3">
        <f t="shared" si="10"/>
        <v>76</v>
      </c>
      <c r="G71" s="3" t="s">
        <v>976</v>
      </c>
      <c r="H71" s="5" t="s">
        <v>55</v>
      </c>
    </row>
    <row r="72" spans="1:9" ht="21" x14ac:dyDescent="0.7">
      <c r="A72" s="2">
        <v>71</v>
      </c>
      <c r="B72" s="8" t="s">
        <v>21</v>
      </c>
      <c r="C72" s="10" t="s">
        <v>975</v>
      </c>
      <c r="D72" s="3"/>
      <c r="E72" s="3">
        <v>10</v>
      </c>
      <c r="F72" s="3">
        <f t="shared" si="10"/>
        <v>66</v>
      </c>
      <c r="G72" s="3">
        <v>4815</v>
      </c>
      <c r="H72" s="5" t="s">
        <v>575</v>
      </c>
    </row>
    <row r="73" spans="1:9" ht="21" x14ac:dyDescent="0.7">
      <c r="A73" s="2">
        <v>72</v>
      </c>
      <c r="B73" s="8" t="s">
        <v>21</v>
      </c>
      <c r="C73" s="10" t="s">
        <v>984</v>
      </c>
      <c r="D73" s="3"/>
      <c r="E73" s="3">
        <v>5</v>
      </c>
      <c r="F73" s="3">
        <f t="shared" si="10"/>
        <v>61</v>
      </c>
      <c r="G73" s="3">
        <v>4851</v>
      </c>
      <c r="H73" s="5" t="s">
        <v>988</v>
      </c>
    </row>
    <row r="74" spans="1:9" ht="21" x14ac:dyDescent="0.7">
      <c r="A74" s="2">
        <v>73</v>
      </c>
      <c r="B74" s="8" t="s">
        <v>21</v>
      </c>
      <c r="C74" s="10" t="s">
        <v>1032</v>
      </c>
      <c r="D74" s="3"/>
      <c r="E74" s="3">
        <v>3</v>
      </c>
      <c r="F74" s="3">
        <f t="shared" si="10"/>
        <v>58</v>
      </c>
      <c r="G74" s="3">
        <v>4917</v>
      </c>
      <c r="H74" s="5" t="s">
        <v>929</v>
      </c>
    </row>
    <row r="75" spans="1:9" ht="21" x14ac:dyDescent="0.7">
      <c r="A75" s="2">
        <v>74</v>
      </c>
      <c r="B75" s="8" t="s">
        <v>21</v>
      </c>
      <c r="C75" s="10" t="s">
        <v>1047</v>
      </c>
      <c r="D75" s="3"/>
      <c r="E75" s="3">
        <v>4</v>
      </c>
      <c r="F75" s="3">
        <f t="shared" ref="F75:F80" si="11">F74-E75</f>
        <v>54</v>
      </c>
      <c r="G75" s="3">
        <v>4940</v>
      </c>
      <c r="H75" s="5" t="s">
        <v>308</v>
      </c>
    </row>
    <row r="76" spans="1:9" ht="21" x14ac:dyDescent="0.7">
      <c r="A76" s="2">
        <v>75</v>
      </c>
      <c r="B76" s="8" t="s">
        <v>21</v>
      </c>
      <c r="C76" s="10" t="s">
        <v>1061</v>
      </c>
      <c r="D76" s="3"/>
      <c r="E76" s="3">
        <v>2</v>
      </c>
      <c r="F76" s="3">
        <f t="shared" si="11"/>
        <v>52</v>
      </c>
      <c r="G76" s="3">
        <v>4949</v>
      </c>
      <c r="H76" s="5" t="s">
        <v>311</v>
      </c>
    </row>
    <row r="77" spans="1:9" ht="21" x14ac:dyDescent="0.7">
      <c r="A77" s="2">
        <v>76</v>
      </c>
      <c r="B77" s="8" t="s">
        <v>21</v>
      </c>
      <c r="C77" s="10" t="s">
        <v>1074</v>
      </c>
      <c r="D77" s="3"/>
      <c r="E77" s="3">
        <v>2</v>
      </c>
      <c r="F77" s="3">
        <f t="shared" si="11"/>
        <v>50</v>
      </c>
      <c r="G77" s="3">
        <v>4976</v>
      </c>
      <c r="H77" s="5" t="s">
        <v>311</v>
      </c>
    </row>
    <row r="78" spans="1:9" ht="21" x14ac:dyDescent="0.7">
      <c r="A78" s="2">
        <v>77</v>
      </c>
      <c r="B78" s="8" t="s">
        <v>21</v>
      </c>
      <c r="C78" s="10" t="s">
        <v>1076</v>
      </c>
      <c r="D78" s="3"/>
      <c r="E78" s="3">
        <v>4</v>
      </c>
      <c r="F78" s="3">
        <f t="shared" si="11"/>
        <v>46</v>
      </c>
      <c r="G78" s="3">
        <v>4983</v>
      </c>
      <c r="H78" s="5" t="s">
        <v>311</v>
      </c>
    </row>
    <row r="79" spans="1:9" ht="21" x14ac:dyDescent="0.7">
      <c r="A79" s="2">
        <v>78</v>
      </c>
      <c r="B79" s="8" t="s">
        <v>21</v>
      </c>
      <c r="C79" s="10" t="s">
        <v>1104</v>
      </c>
      <c r="D79" s="3"/>
      <c r="E79" s="3">
        <v>2</v>
      </c>
      <c r="F79" s="3">
        <f t="shared" si="11"/>
        <v>44</v>
      </c>
      <c r="G79" s="3">
        <v>5041</v>
      </c>
      <c r="H79" s="5" t="s">
        <v>311</v>
      </c>
    </row>
    <row r="80" spans="1:9" ht="21" x14ac:dyDescent="0.7">
      <c r="A80" s="2">
        <v>79</v>
      </c>
      <c r="B80" s="8" t="s">
        <v>21</v>
      </c>
      <c r="C80" s="10" t="s">
        <v>1104</v>
      </c>
      <c r="D80" s="3"/>
      <c r="E80" s="3">
        <v>3</v>
      </c>
      <c r="F80" s="3">
        <f t="shared" si="11"/>
        <v>41</v>
      </c>
      <c r="G80" s="3">
        <v>5042</v>
      </c>
      <c r="H80" s="5" t="s">
        <v>311</v>
      </c>
    </row>
    <row r="81" spans="1:8" ht="21" x14ac:dyDescent="0.7">
      <c r="A81" s="2">
        <v>80</v>
      </c>
      <c r="B81" s="8" t="s">
        <v>21</v>
      </c>
      <c r="C81" s="10" t="s">
        <v>1116</v>
      </c>
      <c r="D81" s="3"/>
      <c r="E81" s="3">
        <v>3</v>
      </c>
      <c r="F81" s="3">
        <f>F80-E81</f>
        <v>38</v>
      </c>
      <c r="G81" s="3">
        <v>5090</v>
      </c>
      <c r="H81" s="5" t="s">
        <v>1126</v>
      </c>
    </row>
    <row r="82" spans="1:8" ht="21" x14ac:dyDescent="0.7">
      <c r="A82" s="2">
        <v>81</v>
      </c>
      <c r="B82" s="8" t="s">
        <v>21</v>
      </c>
      <c r="C82" s="10" t="s">
        <v>1158</v>
      </c>
      <c r="D82" s="3">
        <v>120</v>
      </c>
      <c r="E82" s="3"/>
      <c r="F82" s="3">
        <f>F81+D82</f>
        <v>158</v>
      </c>
      <c r="G82" s="3"/>
      <c r="H82" s="19" t="s">
        <v>1159</v>
      </c>
    </row>
    <row r="83" spans="1:8" ht="21" x14ac:dyDescent="0.7">
      <c r="A83" s="2">
        <v>82</v>
      </c>
      <c r="B83" s="8" t="s">
        <v>21</v>
      </c>
      <c r="C83" s="10" t="s">
        <v>1193</v>
      </c>
      <c r="D83" s="3"/>
      <c r="E83" s="3">
        <v>4</v>
      </c>
      <c r="F83" s="3">
        <f t="shared" ref="F83:F88" si="12">F82-E83</f>
        <v>154</v>
      </c>
      <c r="G83" s="3">
        <v>5157</v>
      </c>
      <c r="H83" s="5" t="s">
        <v>1194</v>
      </c>
    </row>
    <row r="84" spans="1:8" ht="21" x14ac:dyDescent="0.7">
      <c r="A84" s="2">
        <v>83</v>
      </c>
      <c r="B84" s="8" t="s">
        <v>21</v>
      </c>
      <c r="C84" s="10" t="s">
        <v>1198</v>
      </c>
      <c r="D84" s="3"/>
      <c r="E84" s="3">
        <v>6</v>
      </c>
      <c r="F84" s="3">
        <f t="shared" si="12"/>
        <v>148</v>
      </c>
      <c r="G84" s="3">
        <v>5171</v>
      </c>
      <c r="H84" s="5" t="s">
        <v>639</v>
      </c>
    </row>
    <row r="85" spans="1:8" ht="21" x14ac:dyDescent="0.7">
      <c r="A85" s="2">
        <v>84</v>
      </c>
      <c r="B85" s="8" t="s">
        <v>21</v>
      </c>
      <c r="C85" s="10" t="s">
        <v>1209</v>
      </c>
      <c r="D85" s="3"/>
      <c r="E85" s="3">
        <v>2</v>
      </c>
      <c r="F85" s="3">
        <f t="shared" si="12"/>
        <v>146</v>
      </c>
      <c r="G85" s="3">
        <v>5181</v>
      </c>
      <c r="H85" s="5" t="s">
        <v>1096</v>
      </c>
    </row>
    <row r="86" spans="1:8" ht="21" x14ac:dyDescent="0.7">
      <c r="A86" s="2">
        <v>85</v>
      </c>
      <c r="B86" s="8" t="s">
        <v>21</v>
      </c>
      <c r="C86" s="10" t="s">
        <v>1215</v>
      </c>
      <c r="D86" s="3"/>
      <c r="E86" s="3">
        <v>2</v>
      </c>
      <c r="F86" s="3">
        <f t="shared" si="12"/>
        <v>144</v>
      </c>
      <c r="G86" s="3">
        <v>5187</v>
      </c>
      <c r="H86" s="5" t="s">
        <v>614</v>
      </c>
    </row>
    <row r="87" spans="1:8" ht="21" x14ac:dyDescent="0.7">
      <c r="A87" s="2">
        <v>86</v>
      </c>
      <c r="B87" s="8" t="s">
        <v>21</v>
      </c>
      <c r="C87" s="10" t="s">
        <v>1227</v>
      </c>
      <c r="D87" s="3"/>
      <c r="E87" s="3">
        <v>1</v>
      </c>
      <c r="F87" s="3">
        <f t="shared" si="12"/>
        <v>143</v>
      </c>
      <c r="G87" s="3">
        <v>5204</v>
      </c>
      <c r="H87" s="5" t="s">
        <v>311</v>
      </c>
    </row>
    <row r="88" spans="1:8" ht="21" x14ac:dyDescent="0.7">
      <c r="A88" s="2">
        <v>87</v>
      </c>
      <c r="B88" s="8" t="s">
        <v>21</v>
      </c>
      <c r="C88" s="10" t="s">
        <v>1261</v>
      </c>
      <c r="D88" s="3"/>
      <c r="E88" s="3">
        <v>4</v>
      </c>
      <c r="F88" s="3">
        <f t="shared" si="12"/>
        <v>139</v>
      </c>
      <c r="G88" s="3">
        <v>5248</v>
      </c>
      <c r="H88" s="5" t="s">
        <v>1194</v>
      </c>
    </row>
    <row r="89" spans="1:8" ht="21" x14ac:dyDescent="0.7">
      <c r="A89" s="2">
        <v>88</v>
      </c>
      <c r="B89" s="8" t="s">
        <v>21</v>
      </c>
      <c r="C89" s="10" t="s">
        <v>1262</v>
      </c>
      <c r="D89" s="3"/>
      <c r="E89" s="3">
        <v>2</v>
      </c>
      <c r="F89" s="3">
        <f t="shared" ref="F89:F94" si="13">F88-E89</f>
        <v>137</v>
      </c>
      <c r="G89" s="3" t="s">
        <v>1263</v>
      </c>
      <c r="H89" s="5" t="s">
        <v>55</v>
      </c>
    </row>
    <row r="90" spans="1:8" ht="21" x14ac:dyDescent="0.7">
      <c r="A90" s="2">
        <v>89</v>
      </c>
      <c r="B90" s="8" t="s">
        <v>21</v>
      </c>
      <c r="C90" s="10" t="s">
        <v>1308</v>
      </c>
      <c r="D90" s="3"/>
      <c r="E90" s="3">
        <v>6</v>
      </c>
      <c r="F90" s="3">
        <f t="shared" si="13"/>
        <v>131</v>
      </c>
      <c r="G90" s="3">
        <v>5309</v>
      </c>
      <c r="H90" s="5" t="s">
        <v>1309</v>
      </c>
    </row>
    <row r="91" spans="1:8" ht="21" x14ac:dyDescent="0.7">
      <c r="A91" s="2">
        <v>90</v>
      </c>
      <c r="B91" s="8" t="s">
        <v>21</v>
      </c>
      <c r="C91" s="10" t="s">
        <v>1308</v>
      </c>
      <c r="D91" s="3"/>
      <c r="E91" s="3">
        <v>3</v>
      </c>
      <c r="F91" s="3">
        <f t="shared" si="13"/>
        <v>128</v>
      </c>
      <c r="G91" s="3">
        <v>5311</v>
      </c>
      <c r="H91" s="5" t="s">
        <v>704</v>
      </c>
    </row>
    <row r="92" spans="1:8" ht="21" x14ac:dyDescent="0.7">
      <c r="A92" s="2">
        <v>91</v>
      </c>
      <c r="B92" s="8" t="s">
        <v>21</v>
      </c>
      <c r="C92" s="10" t="s">
        <v>1348</v>
      </c>
      <c r="D92" s="3"/>
      <c r="E92" s="3">
        <v>10</v>
      </c>
      <c r="F92" s="3">
        <f t="shared" si="13"/>
        <v>118</v>
      </c>
      <c r="G92" s="3">
        <v>5343</v>
      </c>
      <c r="H92" s="5" t="s">
        <v>1309</v>
      </c>
    </row>
    <row r="93" spans="1:8" ht="21" x14ac:dyDescent="0.7">
      <c r="A93" s="2">
        <v>92</v>
      </c>
      <c r="B93" s="8" t="s">
        <v>21</v>
      </c>
      <c r="C93" s="10" t="s">
        <v>1349</v>
      </c>
      <c r="D93" s="3"/>
      <c r="E93" s="3">
        <v>15</v>
      </c>
      <c r="F93" s="3">
        <f t="shared" si="13"/>
        <v>103</v>
      </c>
      <c r="G93" s="3">
        <v>5349</v>
      </c>
      <c r="H93" s="5" t="s">
        <v>1309</v>
      </c>
    </row>
    <row r="94" spans="1:8" ht="21" x14ac:dyDescent="0.7">
      <c r="A94" s="2">
        <v>93</v>
      </c>
      <c r="B94" s="8" t="s">
        <v>21</v>
      </c>
      <c r="C94" s="10" t="s">
        <v>1358</v>
      </c>
      <c r="D94" s="3"/>
      <c r="E94" s="3">
        <v>3</v>
      </c>
      <c r="F94" s="3">
        <f t="shared" si="13"/>
        <v>100</v>
      </c>
      <c r="G94" s="3">
        <v>5364</v>
      </c>
      <c r="H94" s="5" t="s">
        <v>738</v>
      </c>
    </row>
    <row r="95" spans="1:8" ht="21" x14ac:dyDescent="0.7">
      <c r="A95" s="2">
        <v>94</v>
      </c>
      <c r="B95" s="8" t="s">
        <v>21</v>
      </c>
      <c r="C95" s="10" t="s">
        <v>1382</v>
      </c>
      <c r="D95" s="3"/>
      <c r="E95" s="3">
        <v>1</v>
      </c>
      <c r="F95" s="3">
        <f t="shared" ref="F95:F100" si="14">F94-E95</f>
        <v>99</v>
      </c>
      <c r="G95" s="3">
        <v>5398</v>
      </c>
      <c r="H95" s="5" t="s">
        <v>1385</v>
      </c>
    </row>
    <row r="96" spans="1:8" ht="21" x14ac:dyDescent="0.7">
      <c r="A96" s="2">
        <v>95</v>
      </c>
      <c r="B96" s="8" t="s">
        <v>21</v>
      </c>
      <c r="C96" s="10" t="s">
        <v>1387</v>
      </c>
      <c r="D96" s="3"/>
      <c r="E96" s="3">
        <v>10</v>
      </c>
      <c r="F96" s="3">
        <f t="shared" si="14"/>
        <v>89</v>
      </c>
      <c r="G96" s="3">
        <v>5399</v>
      </c>
      <c r="H96" s="5" t="s">
        <v>71</v>
      </c>
    </row>
    <row r="97" spans="1:8" ht="21" x14ac:dyDescent="0.7">
      <c r="A97" s="2">
        <v>96</v>
      </c>
      <c r="B97" s="8" t="s">
        <v>21</v>
      </c>
      <c r="C97" s="10" t="s">
        <v>1419</v>
      </c>
      <c r="D97" s="3"/>
      <c r="E97" s="3">
        <v>1</v>
      </c>
      <c r="F97" s="3">
        <f t="shared" si="14"/>
        <v>88</v>
      </c>
      <c r="G97" s="3" t="s">
        <v>1420</v>
      </c>
      <c r="H97" s="5" t="s">
        <v>436</v>
      </c>
    </row>
    <row r="98" spans="1:8" ht="21" x14ac:dyDescent="0.7">
      <c r="A98" s="2">
        <v>97</v>
      </c>
      <c r="B98" s="8" t="s">
        <v>21</v>
      </c>
      <c r="C98" s="10" t="s">
        <v>1440</v>
      </c>
      <c r="D98" s="3"/>
      <c r="E98" s="3">
        <v>18</v>
      </c>
      <c r="F98" s="3">
        <f t="shared" si="14"/>
        <v>70</v>
      </c>
      <c r="G98" s="3">
        <v>5444</v>
      </c>
      <c r="H98" s="5" t="s">
        <v>43</v>
      </c>
    </row>
    <row r="99" spans="1:8" ht="21" x14ac:dyDescent="0.7">
      <c r="A99" s="2">
        <v>98</v>
      </c>
      <c r="B99" s="8" t="s">
        <v>21</v>
      </c>
      <c r="C99" s="10" t="s">
        <v>1459</v>
      </c>
      <c r="D99" s="3"/>
      <c r="E99" s="3">
        <v>5</v>
      </c>
      <c r="F99" s="3">
        <f t="shared" si="14"/>
        <v>65</v>
      </c>
      <c r="G99" s="3" t="s">
        <v>1460</v>
      </c>
      <c r="H99" s="5" t="s">
        <v>55</v>
      </c>
    </row>
    <row r="100" spans="1:8" ht="21" x14ac:dyDescent="0.7">
      <c r="A100" s="2">
        <v>99</v>
      </c>
      <c r="B100" s="8" t="s">
        <v>21</v>
      </c>
      <c r="C100" s="10" t="s">
        <v>1502</v>
      </c>
      <c r="D100" s="3"/>
      <c r="E100" s="3">
        <v>5</v>
      </c>
      <c r="F100" s="3">
        <f t="shared" si="14"/>
        <v>60</v>
      </c>
      <c r="G100" s="3">
        <v>5509</v>
      </c>
      <c r="H100" s="5" t="s">
        <v>1309</v>
      </c>
    </row>
    <row r="101" spans="1:8" ht="21" x14ac:dyDescent="0.7">
      <c r="A101" s="2">
        <v>100</v>
      </c>
      <c r="B101" s="8" t="s">
        <v>21</v>
      </c>
      <c r="C101" s="10" t="s">
        <v>1538</v>
      </c>
      <c r="D101" s="3">
        <v>24</v>
      </c>
      <c r="E101" s="3"/>
      <c r="F101" s="3">
        <f>F100+D101</f>
        <v>84</v>
      </c>
      <c r="G101" s="3"/>
      <c r="H101" s="19" t="s">
        <v>1539</v>
      </c>
    </row>
    <row r="102" spans="1:8" ht="21" x14ac:dyDescent="0.7">
      <c r="A102" s="2">
        <v>101</v>
      </c>
      <c r="B102" s="8" t="s">
        <v>21</v>
      </c>
      <c r="C102" s="10" t="s">
        <v>1538</v>
      </c>
      <c r="D102" s="3"/>
      <c r="E102" s="3">
        <v>3</v>
      </c>
      <c r="F102" s="3">
        <f t="shared" ref="F102:F107" si="15">F101-E102</f>
        <v>81</v>
      </c>
      <c r="G102" s="3" t="s">
        <v>1541</v>
      </c>
      <c r="H102" s="5" t="s">
        <v>55</v>
      </c>
    </row>
    <row r="103" spans="1:8" ht="21" x14ac:dyDescent="0.7">
      <c r="A103" s="2">
        <v>102</v>
      </c>
      <c r="B103" s="8" t="s">
        <v>21</v>
      </c>
      <c r="C103" s="10" t="s">
        <v>1565</v>
      </c>
      <c r="D103" s="3"/>
      <c r="E103" s="3">
        <v>1</v>
      </c>
      <c r="F103" s="3">
        <f t="shared" si="15"/>
        <v>80</v>
      </c>
      <c r="G103" s="3" t="s">
        <v>1566</v>
      </c>
      <c r="H103" s="5" t="s">
        <v>55</v>
      </c>
    </row>
    <row r="104" spans="1:8" ht="21" x14ac:dyDescent="0.7">
      <c r="A104" s="2">
        <v>103</v>
      </c>
      <c r="B104" s="8" t="s">
        <v>21</v>
      </c>
      <c r="C104" s="10" t="s">
        <v>1567</v>
      </c>
      <c r="D104" s="3"/>
      <c r="E104" s="3">
        <v>1</v>
      </c>
      <c r="F104" s="3">
        <f t="shared" si="15"/>
        <v>79</v>
      </c>
      <c r="G104" s="3">
        <v>5624</v>
      </c>
      <c r="H104" s="5" t="s">
        <v>1568</v>
      </c>
    </row>
    <row r="105" spans="1:8" ht="21" x14ac:dyDescent="0.7">
      <c r="A105" s="2">
        <v>104</v>
      </c>
      <c r="B105" s="8" t="s">
        <v>21</v>
      </c>
      <c r="C105" s="10" t="s">
        <v>1592</v>
      </c>
      <c r="D105" s="3"/>
      <c r="E105" s="3">
        <v>1</v>
      </c>
      <c r="F105" s="3">
        <f t="shared" si="15"/>
        <v>78</v>
      </c>
      <c r="G105" s="3">
        <v>5670</v>
      </c>
      <c r="H105" s="5" t="s">
        <v>1593</v>
      </c>
    </row>
    <row r="106" spans="1:8" ht="21" x14ac:dyDescent="0.7">
      <c r="A106" s="2">
        <v>105</v>
      </c>
      <c r="B106" s="8" t="s">
        <v>21</v>
      </c>
      <c r="C106" s="10" t="s">
        <v>1626</v>
      </c>
      <c r="D106" s="3"/>
      <c r="E106" s="3">
        <v>2</v>
      </c>
      <c r="F106" s="3">
        <f t="shared" si="15"/>
        <v>76</v>
      </c>
      <c r="G106" s="3" t="s">
        <v>1627</v>
      </c>
      <c r="H106" s="5" t="s">
        <v>55</v>
      </c>
    </row>
    <row r="107" spans="1:8" ht="21" x14ac:dyDescent="0.7">
      <c r="A107" s="2">
        <v>106</v>
      </c>
      <c r="B107" s="8" t="s">
        <v>21</v>
      </c>
      <c r="C107" s="10" t="s">
        <v>1645</v>
      </c>
      <c r="D107" s="3"/>
      <c r="E107" s="3">
        <v>30</v>
      </c>
      <c r="F107" s="3">
        <f t="shared" si="15"/>
        <v>46</v>
      </c>
      <c r="G107" s="3">
        <v>5739</v>
      </c>
      <c r="H107" s="5" t="s">
        <v>704</v>
      </c>
    </row>
    <row r="108" spans="1:8" ht="21" x14ac:dyDescent="0.7">
      <c r="A108" s="2">
        <v>107</v>
      </c>
      <c r="B108" s="8" t="s">
        <v>21</v>
      </c>
      <c r="C108" s="10" t="s">
        <v>1655</v>
      </c>
      <c r="D108" s="3"/>
      <c r="E108" s="3">
        <v>10</v>
      </c>
      <c r="F108" s="3">
        <f t="shared" ref="F108:F113" si="16">F107-E108</f>
        <v>36</v>
      </c>
      <c r="G108" s="3">
        <v>5746</v>
      </c>
      <c r="H108" s="5" t="s">
        <v>1309</v>
      </c>
    </row>
    <row r="109" spans="1:8" ht="21" x14ac:dyDescent="0.7">
      <c r="A109" s="2">
        <v>108</v>
      </c>
      <c r="B109" s="8" t="s">
        <v>21</v>
      </c>
      <c r="C109" s="10" t="s">
        <v>1683</v>
      </c>
      <c r="D109" s="3"/>
      <c r="E109" s="3">
        <v>5</v>
      </c>
      <c r="F109" s="3">
        <f t="shared" si="16"/>
        <v>31</v>
      </c>
      <c r="G109" s="3">
        <v>5800</v>
      </c>
      <c r="H109" s="5" t="s">
        <v>43</v>
      </c>
    </row>
    <row r="110" spans="1:8" ht="21" x14ac:dyDescent="0.7">
      <c r="A110" s="2">
        <v>109</v>
      </c>
      <c r="B110" s="8" t="s">
        <v>21</v>
      </c>
      <c r="C110" s="10" t="s">
        <v>1696</v>
      </c>
      <c r="D110" s="3"/>
      <c r="E110" s="3">
        <v>2</v>
      </c>
      <c r="F110" s="3">
        <f t="shared" si="16"/>
        <v>29</v>
      </c>
      <c r="G110" s="3" t="s">
        <v>1697</v>
      </c>
      <c r="H110" s="5" t="s">
        <v>55</v>
      </c>
    </row>
    <row r="111" spans="1:8" ht="21" x14ac:dyDescent="0.7">
      <c r="A111" s="2">
        <v>110</v>
      </c>
      <c r="B111" s="8" t="s">
        <v>21</v>
      </c>
      <c r="C111" s="10" t="s">
        <v>1705</v>
      </c>
      <c r="D111" s="3"/>
      <c r="E111" s="3">
        <v>1</v>
      </c>
      <c r="F111" s="3">
        <f t="shared" si="16"/>
        <v>28</v>
      </c>
      <c r="G111" s="3">
        <v>5844</v>
      </c>
      <c r="H111" s="5" t="s">
        <v>1309</v>
      </c>
    </row>
    <row r="112" spans="1:8" ht="21" x14ac:dyDescent="0.7">
      <c r="A112" s="2">
        <v>111</v>
      </c>
      <c r="B112" s="8" t="s">
        <v>21</v>
      </c>
      <c r="C112" s="10" t="s">
        <v>1716</v>
      </c>
      <c r="D112" s="3"/>
      <c r="E112" s="3">
        <v>1</v>
      </c>
      <c r="F112" s="3">
        <f t="shared" si="16"/>
        <v>27</v>
      </c>
      <c r="G112" s="3" t="s">
        <v>1717</v>
      </c>
      <c r="H112" s="5" t="s">
        <v>436</v>
      </c>
    </row>
    <row r="113" spans="1:8" ht="21" x14ac:dyDescent="0.7">
      <c r="A113" s="2">
        <v>112</v>
      </c>
      <c r="B113" s="8" t="s">
        <v>21</v>
      </c>
      <c r="C113" s="10" t="s">
        <v>1726</v>
      </c>
      <c r="D113" s="3"/>
      <c r="E113" s="3">
        <v>3</v>
      </c>
      <c r="F113" s="3">
        <f t="shared" si="16"/>
        <v>24</v>
      </c>
      <c r="G113" s="3" t="s">
        <v>1727</v>
      </c>
      <c r="H113" s="5" t="s">
        <v>55</v>
      </c>
    </row>
    <row r="114" spans="1:8" ht="21" x14ac:dyDescent="0.7">
      <c r="A114" s="2">
        <v>113</v>
      </c>
      <c r="B114" s="8" t="s">
        <v>21</v>
      </c>
      <c r="C114" s="10" t="s">
        <v>1744</v>
      </c>
      <c r="D114" s="3"/>
      <c r="E114" s="3">
        <v>1</v>
      </c>
      <c r="F114" s="3">
        <f t="shared" ref="F114:F119" si="17">F113-E114</f>
        <v>23</v>
      </c>
      <c r="G114" s="3">
        <v>5922</v>
      </c>
      <c r="H114" s="5" t="s">
        <v>1745</v>
      </c>
    </row>
    <row r="115" spans="1:8" ht="21" x14ac:dyDescent="0.7">
      <c r="A115" s="2">
        <v>114</v>
      </c>
      <c r="B115" s="8" t="s">
        <v>21</v>
      </c>
      <c r="C115" s="10" t="s">
        <v>1755</v>
      </c>
      <c r="D115" s="3"/>
      <c r="E115" s="3">
        <v>1</v>
      </c>
      <c r="F115" s="3">
        <f t="shared" si="17"/>
        <v>22</v>
      </c>
      <c r="G115" s="3" t="s">
        <v>1756</v>
      </c>
      <c r="H115" s="5" t="s">
        <v>55</v>
      </c>
    </row>
    <row r="116" spans="1:8" ht="21" x14ac:dyDescent="0.7">
      <c r="A116" s="2">
        <v>115</v>
      </c>
      <c r="B116" s="8" t="s">
        <v>21</v>
      </c>
      <c r="C116" s="10" t="s">
        <v>1762</v>
      </c>
      <c r="D116" s="3"/>
      <c r="E116" s="3">
        <v>5</v>
      </c>
      <c r="F116" s="3">
        <f t="shared" si="17"/>
        <v>17</v>
      </c>
      <c r="G116" s="3">
        <v>5960</v>
      </c>
      <c r="H116" s="5" t="s">
        <v>43</v>
      </c>
    </row>
    <row r="117" spans="1:8" ht="21" x14ac:dyDescent="0.7">
      <c r="A117" s="2">
        <v>116</v>
      </c>
      <c r="B117" s="8" t="s">
        <v>21</v>
      </c>
      <c r="C117" s="10" t="s">
        <v>1765</v>
      </c>
      <c r="D117" s="3"/>
      <c r="E117" s="3">
        <v>11</v>
      </c>
      <c r="F117" s="3">
        <f t="shared" si="17"/>
        <v>6</v>
      </c>
      <c r="G117" s="3">
        <v>5964</v>
      </c>
      <c r="H117" s="5" t="s">
        <v>1673</v>
      </c>
    </row>
    <row r="118" spans="1:8" ht="21" x14ac:dyDescent="0.7">
      <c r="A118" s="2">
        <v>117</v>
      </c>
      <c r="B118" s="8" t="s">
        <v>21</v>
      </c>
      <c r="C118" s="10" t="s">
        <v>1771</v>
      </c>
      <c r="D118" s="3"/>
      <c r="E118" s="3">
        <v>2</v>
      </c>
      <c r="F118" s="3">
        <f t="shared" si="17"/>
        <v>4</v>
      </c>
      <c r="G118" s="3">
        <v>5970</v>
      </c>
      <c r="H118" s="5" t="s">
        <v>704</v>
      </c>
    </row>
    <row r="119" spans="1:8" ht="21" x14ac:dyDescent="0.7">
      <c r="A119" s="2">
        <v>118</v>
      </c>
      <c r="B119" s="8" t="s">
        <v>21</v>
      </c>
      <c r="C119" s="10" t="s">
        <v>1947</v>
      </c>
      <c r="D119" s="3"/>
      <c r="E119" s="3">
        <v>1</v>
      </c>
      <c r="F119" s="3">
        <f t="shared" si="17"/>
        <v>3</v>
      </c>
      <c r="G119" s="3">
        <v>6244</v>
      </c>
      <c r="H119" s="5" t="s">
        <v>1962</v>
      </c>
    </row>
    <row r="120" spans="1:8" ht="21" x14ac:dyDescent="0.7">
      <c r="A120" s="2">
        <v>119</v>
      </c>
      <c r="B120" s="8"/>
      <c r="C120" s="10"/>
      <c r="D120" s="3"/>
      <c r="E120" s="3"/>
      <c r="F120" s="3">
        <v>0</v>
      </c>
      <c r="G120" s="3"/>
      <c r="H120" s="5" t="s">
        <v>1763</v>
      </c>
    </row>
    <row r="121" spans="1:8" ht="21" x14ac:dyDescent="0.7">
      <c r="A121" s="2">
        <v>120</v>
      </c>
      <c r="B121" s="8" t="s">
        <v>21</v>
      </c>
      <c r="C121" s="10" t="s">
        <v>1934</v>
      </c>
      <c r="D121" s="3">
        <v>96</v>
      </c>
      <c r="E121" s="3"/>
      <c r="F121" s="3">
        <v>96</v>
      </c>
      <c r="G121" s="3"/>
      <c r="H121" s="19" t="s">
        <v>1936</v>
      </c>
    </row>
    <row r="122" spans="1:8" ht="21" x14ac:dyDescent="0.7">
      <c r="A122" s="2">
        <v>121</v>
      </c>
      <c r="B122" s="8" t="s">
        <v>21</v>
      </c>
      <c r="C122" s="10" t="s">
        <v>1945</v>
      </c>
      <c r="D122" s="3"/>
      <c r="E122" s="3">
        <v>96</v>
      </c>
      <c r="F122" s="3">
        <f>F121-E122</f>
        <v>0</v>
      </c>
      <c r="G122" s="3">
        <v>6237</v>
      </c>
      <c r="H122" s="5" t="s">
        <v>704</v>
      </c>
    </row>
    <row r="123" spans="1:8" ht="21" x14ac:dyDescent="0.7">
      <c r="A123" s="2">
        <v>122</v>
      </c>
      <c r="B123" s="8" t="s">
        <v>21</v>
      </c>
      <c r="C123" s="10" t="s">
        <v>2019</v>
      </c>
      <c r="D123" s="3">
        <v>96</v>
      </c>
      <c r="F123" s="3">
        <f>F122+D123</f>
        <v>96</v>
      </c>
      <c r="G123" s="3"/>
      <c r="H123" s="19" t="s">
        <v>2020</v>
      </c>
    </row>
    <row r="124" spans="1:8" ht="21" x14ac:dyDescent="0.7">
      <c r="A124" s="2">
        <v>123</v>
      </c>
      <c r="B124" s="8" t="s">
        <v>21</v>
      </c>
      <c r="C124" s="10" t="s">
        <v>2016</v>
      </c>
      <c r="D124" s="3"/>
      <c r="E124" s="3">
        <v>1</v>
      </c>
      <c r="F124" s="3">
        <f t="shared" ref="F124:F129" si="18">F123-E124</f>
        <v>95</v>
      </c>
      <c r="G124" s="3">
        <v>6287</v>
      </c>
      <c r="H124" s="5" t="s">
        <v>2017</v>
      </c>
    </row>
    <row r="125" spans="1:8" ht="21" x14ac:dyDescent="0.7">
      <c r="A125" s="2">
        <v>124</v>
      </c>
      <c r="B125" s="8" t="s">
        <v>21</v>
      </c>
      <c r="C125" s="10" t="s">
        <v>2031</v>
      </c>
      <c r="D125" s="3"/>
      <c r="E125" s="3">
        <v>54</v>
      </c>
      <c r="F125" s="3">
        <f t="shared" si="18"/>
        <v>41</v>
      </c>
      <c r="G125" s="3">
        <v>6296</v>
      </c>
      <c r="H125" s="5" t="s">
        <v>704</v>
      </c>
    </row>
    <row r="126" spans="1:8" ht="21" x14ac:dyDescent="0.7">
      <c r="A126" s="2">
        <v>125</v>
      </c>
      <c r="B126" s="8" t="s">
        <v>21</v>
      </c>
      <c r="C126" s="10" t="s">
        <v>2049</v>
      </c>
      <c r="D126" s="3"/>
      <c r="E126" s="3">
        <v>2</v>
      </c>
      <c r="F126" s="3">
        <f t="shared" si="18"/>
        <v>39</v>
      </c>
      <c r="G126" s="3">
        <v>6315</v>
      </c>
      <c r="H126" s="5" t="s">
        <v>1309</v>
      </c>
    </row>
    <row r="127" spans="1:8" ht="21" x14ac:dyDescent="0.7">
      <c r="A127" s="2">
        <v>126</v>
      </c>
      <c r="B127" s="8" t="s">
        <v>21</v>
      </c>
      <c r="C127" s="10" t="s">
        <v>2058</v>
      </c>
      <c r="D127" s="3"/>
      <c r="E127" s="3">
        <v>1</v>
      </c>
      <c r="F127" s="3">
        <f t="shared" si="18"/>
        <v>38</v>
      </c>
      <c r="G127" s="3" t="s">
        <v>2059</v>
      </c>
      <c r="H127" s="5" t="s">
        <v>55</v>
      </c>
    </row>
    <row r="128" spans="1:8" ht="21" x14ac:dyDescent="0.7">
      <c r="A128" s="2">
        <v>127</v>
      </c>
      <c r="B128" s="8" t="s">
        <v>21</v>
      </c>
      <c r="C128" s="10" t="s">
        <v>2064</v>
      </c>
      <c r="D128" s="3"/>
      <c r="E128" s="3">
        <v>6</v>
      </c>
      <c r="F128" s="3">
        <f t="shared" si="18"/>
        <v>32</v>
      </c>
      <c r="G128" s="3">
        <v>6329</v>
      </c>
      <c r="H128" s="5" t="s">
        <v>1194</v>
      </c>
    </row>
    <row r="129" spans="1:8" ht="21" x14ac:dyDescent="0.7">
      <c r="A129" s="2">
        <v>128</v>
      </c>
      <c r="B129" s="8" t="s">
        <v>21</v>
      </c>
      <c r="C129" s="10" t="s">
        <v>2066</v>
      </c>
      <c r="D129" s="3"/>
      <c r="E129" s="3">
        <v>1</v>
      </c>
      <c r="F129" s="3">
        <f t="shared" si="18"/>
        <v>31</v>
      </c>
      <c r="G129" s="3" t="s">
        <v>2067</v>
      </c>
      <c r="H129" s="5" t="s">
        <v>55</v>
      </c>
    </row>
    <row r="130" spans="1:8" ht="21" x14ac:dyDescent="0.7">
      <c r="A130" s="2">
        <v>129</v>
      </c>
      <c r="B130" s="8" t="s">
        <v>21</v>
      </c>
      <c r="C130" s="10" t="s">
        <v>2077</v>
      </c>
      <c r="D130" s="3"/>
      <c r="E130" s="3">
        <v>4</v>
      </c>
      <c r="F130" s="3">
        <f>F129-E130</f>
        <v>27</v>
      </c>
      <c r="G130" s="3">
        <v>6350</v>
      </c>
      <c r="H130" s="5" t="s">
        <v>1194</v>
      </c>
    </row>
    <row r="131" spans="1:8" ht="21" x14ac:dyDescent="0.7">
      <c r="A131" s="2">
        <v>130</v>
      </c>
      <c r="B131" s="8" t="s">
        <v>21</v>
      </c>
      <c r="C131" s="10" t="s">
        <v>2080</v>
      </c>
      <c r="D131" s="3">
        <v>48</v>
      </c>
      <c r="E131" s="3"/>
      <c r="F131" s="3">
        <f>F130+D131</f>
        <v>75</v>
      </c>
      <c r="G131" s="3"/>
      <c r="H131" s="19" t="s">
        <v>2081</v>
      </c>
    </row>
    <row r="132" spans="1:8" ht="21" x14ac:dyDescent="0.7">
      <c r="A132" s="2">
        <v>131</v>
      </c>
      <c r="B132" s="8" t="s">
        <v>21</v>
      </c>
      <c r="C132" s="10" t="s">
        <v>2112</v>
      </c>
      <c r="D132" s="3"/>
      <c r="E132" s="3">
        <v>10</v>
      </c>
      <c r="F132" s="3">
        <f t="shared" ref="F132:F137" si="19">F131-E132</f>
        <v>65</v>
      </c>
      <c r="G132" s="3">
        <v>6405</v>
      </c>
      <c r="H132" s="5" t="s">
        <v>1194</v>
      </c>
    </row>
    <row r="133" spans="1:8" ht="21" x14ac:dyDescent="0.7">
      <c r="A133" s="2">
        <v>132</v>
      </c>
      <c r="B133" s="8" t="s">
        <v>21</v>
      </c>
      <c r="C133" s="10" t="s">
        <v>2125</v>
      </c>
      <c r="D133" s="3"/>
      <c r="E133" s="3">
        <v>1</v>
      </c>
      <c r="F133" s="3">
        <f t="shared" si="19"/>
        <v>64</v>
      </c>
      <c r="G133" s="3" t="s">
        <v>2128</v>
      </c>
      <c r="H133" s="5" t="s">
        <v>55</v>
      </c>
    </row>
    <row r="134" spans="1:8" ht="21" x14ac:dyDescent="0.7">
      <c r="A134" s="2">
        <v>133</v>
      </c>
      <c r="B134" s="8" t="s">
        <v>21</v>
      </c>
      <c r="C134" s="10" t="s">
        <v>2145</v>
      </c>
      <c r="D134" s="3"/>
      <c r="E134" s="3">
        <v>3</v>
      </c>
      <c r="F134" s="3">
        <f t="shared" si="19"/>
        <v>61</v>
      </c>
      <c r="G134" s="3">
        <v>6436</v>
      </c>
      <c r="H134" s="5" t="s">
        <v>1675</v>
      </c>
    </row>
    <row r="135" spans="1:8" ht="21" x14ac:dyDescent="0.7">
      <c r="A135" s="2">
        <v>134</v>
      </c>
      <c r="B135" s="8" t="s">
        <v>21</v>
      </c>
      <c r="C135" s="10" t="s">
        <v>2149</v>
      </c>
      <c r="D135" s="3"/>
      <c r="E135" s="3">
        <v>1</v>
      </c>
      <c r="F135" s="3">
        <f t="shared" si="19"/>
        <v>60</v>
      </c>
      <c r="G135" s="3" t="s">
        <v>2151</v>
      </c>
      <c r="H135" s="5" t="s">
        <v>55</v>
      </c>
    </row>
    <row r="136" spans="1:8" ht="21" x14ac:dyDescent="0.7">
      <c r="A136" s="2">
        <v>135</v>
      </c>
      <c r="B136" s="8" t="s">
        <v>21</v>
      </c>
      <c r="C136" s="10" t="s">
        <v>2167</v>
      </c>
      <c r="D136" s="3"/>
      <c r="E136" s="3">
        <v>6</v>
      </c>
      <c r="F136" s="3">
        <f t="shared" si="19"/>
        <v>54</v>
      </c>
      <c r="G136" s="3">
        <v>6470</v>
      </c>
      <c r="H136" s="5" t="s">
        <v>1194</v>
      </c>
    </row>
    <row r="137" spans="1:8" ht="21" x14ac:dyDescent="0.7">
      <c r="A137" s="2">
        <v>136</v>
      </c>
      <c r="B137" s="8" t="s">
        <v>21</v>
      </c>
      <c r="C137" s="10" t="s">
        <v>2168</v>
      </c>
      <c r="D137" s="3"/>
      <c r="E137" s="3">
        <v>4</v>
      </c>
      <c r="F137" s="3">
        <f t="shared" si="19"/>
        <v>50</v>
      </c>
      <c r="G137" s="3">
        <v>6472</v>
      </c>
      <c r="H137" s="5" t="s">
        <v>1675</v>
      </c>
    </row>
    <row r="138" spans="1:8" ht="21" x14ac:dyDescent="0.7">
      <c r="A138" s="2">
        <v>137</v>
      </c>
      <c r="B138" s="8" t="s">
        <v>21</v>
      </c>
      <c r="C138" s="10" t="s">
        <v>2191</v>
      </c>
      <c r="D138" s="3"/>
      <c r="E138" s="3">
        <v>6</v>
      </c>
      <c r="F138" s="3">
        <f t="shared" ref="F138:F143" si="20">F137-E138</f>
        <v>44</v>
      </c>
      <c r="G138" s="3">
        <v>6519</v>
      </c>
      <c r="H138" s="5" t="s">
        <v>639</v>
      </c>
    </row>
    <row r="139" spans="1:8" ht="21" x14ac:dyDescent="0.7">
      <c r="A139" s="2">
        <v>138</v>
      </c>
      <c r="B139" s="8" t="s">
        <v>21</v>
      </c>
      <c r="C139" s="10" t="s">
        <v>2195</v>
      </c>
      <c r="D139" s="3"/>
      <c r="E139" s="3">
        <v>6</v>
      </c>
      <c r="F139" s="3">
        <f t="shared" si="20"/>
        <v>38</v>
      </c>
      <c r="G139" s="3">
        <v>6529</v>
      </c>
      <c r="H139" s="5" t="s">
        <v>2196</v>
      </c>
    </row>
    <row r="140" spans="1:8" ht="21" x14ac:dyDescent="0.7">
      <c r="A140" s="2">
        <v>139</v>
      </c>
      <c r="B140" s="8" t="s">
        <v>21</v>
      </c>
      <c r="C140" s="10" t="s">
        <v>2198</v>
      </c>
      <c r="D140" s="3"/>
      <c r="E140" s="3">
        <v>1</v>
      </c>
      <c r="F140" s="3">
        <f t="shared" si="20"/>
        <v>37</v>
      </c>
      <c r="G140" s="3" t="s">
        <v>2199</v>
      </c>
      <c r="H140" s="5" t="s">
        <v>55</v>
      </c>
    </row>
    <row r="141" spans="1:8" ht="21" x14ac:dyDescent="0.7">
      <c r="A141" s="2">
        <v>140</v>
      </c>
      <c r="B141" s="8" t="s">
        <v>21</v>
      </c>
      <c r="C141" s="10" t="s">
        <v>2202</v>
      </c>
      <c r="D141" s="3"/>
      <c r="E141" s="3">
        <v>1</v>
      </c>
      <c r="F141" s="3">
        <f t="shared" si="20"/>
        <v>36</v>
      </c>
      <c r="G141" s="3" t="s">
        <v>2203</v>
      </c>
      <c r="H141" s="5" t="s">
        <v>55</v>
      </c>
    </row>
    <row r="142" spans="1:8" ht="21" x14ac:dyDescent="0.7">
      <c r="A142" s="2">
        <v>141</v>
      </c>
      <c r="B142" s="8" t="s">
        <v>21</v>
      </c>
      <c r="C142" s="10" t="s">
        <v>2205</v>
      </c>
      <c r="D142" s="3"/>
      <c r="E142" s="3">
        <v>5</v>
      </c>
      <c r="F142" s="3">
        <f t="shared" si="20"/>
        <v>31</v>
      </c>
      <c r="G142" s="3">
        <v>6545</v>
      </c>
      <c r="H142" s="5" t="s">
        <v>1675</v>
      </c>
    </row>
    <row r="143" spans="1:8" ht="21" x14ac:dyDescent="0.7">
      <c r="A143" s="2">
        <v>142</v>
      </c>
      <c r="B143" s="8" t="s">
        <v>21</v>
      </c>
      <c r="C143" s="10" t="s">
        <v>2208</v>
      </c>
      <c r="D143" s="3"/>
      <c r="E143" s="3">
        <v>8</v>
      </c>
      <c r="F143" s="3">
        <f t="shared" si="20"/>
        <v>23</v>
      </c>
      <c r="G143" s="3">
        <v>6555</v>
      </c>
      <c r="H143" s="5" t="s">
        <v>738</v>
      </c>
    </row>
    <row r="144" spans="1:8" ht="21" x14ac:dyDescent="0.7">
      <c r="A144" s="2">
        <v>143</v>
      </c>
      <c r="B144" s="8" t="s">
        <v>21</v>
      </c>
      <c r="C144" s="10" t="s">
        <v>2208</v>
      </c>
      <c r="D144" s="3"/>
      <c r="E144" s="3">
        <v>4</v>
      </c>
      <c r="F144" s="3">
        <f>F143-E144</f>
        <v>19</v>
      </c>
      <c r="G144" s="3">
        <v>6556</v>
      </c>
      <c r="H144" s="5" t="s">
        <v>1194</v>
      </c>
    </row>
    <row r="145" spans="1:8" ht="21" x14ac:dyDescent="0.7">
      <c r="A145" s="2">
        <v>144</v>
      </c>
      <c r="B145" s="8" t="s">
        <v>21</v>
      </c>
      <c r="C145" s="10" t="s">
        <v>2212</v>
      </c>
      <c r="D145" s="3"/>
      <c r="E145" s="3">
        <v>6</v>
      </c>
      <c r="F145" s="3">
        <f>F144-E145</f>
        <v>13</v>
      </c>
      <c r="G145" s="3">
        <v>6570</v>
      </c>
      <c r="H145" s="5" t="s">
        <v>1194</v>
      </c>
    </row>
    <row r="146" spans="1:8" ht="21" x14ac:dyDescent="0.7">
      <c r="A146" s="2">
        <v>145</v>
      </c>
      <c r="B146" s="8" t="s">
        <v>21</v>
      </c>
      <c r="C146" s="10" t="s">
        <v>2214</v>
      </c>
      <c r="D146" s="3"/>
      <c r="E146" s="3">
        <v>2</v>
      </c>
      <c r="F146" s="3">
        <f>F145-E146</f>
        <v>11</v>
      </c>
      <c r="G146" s="3" t="s">
        <v>2215</v>
      </c>
      <c r="H146" s="5" t="s">
        <v>55</v>
      </c>
    </row>
    <row r="147" spans="1:8" ht="21" x14ac:dyDescent="0.7">
      <c r="A147" s="2">
        <v>146</v>
      </c>
      <c r="B147" s="8" t="s">
        <v>21</v>
      </c>
      <c r="C147" s="10" t="s">
        <v>2216</v>
      </c>
      <c r="D147" s="3">
        <v>24</v>
      </c>
      <c r="E147" s="3"/>
      <c r="F147" s="3">
        <f>F146+D147</f>
        <v>35</v>
      </c>
      <c r="G147" s="3"/>
      <c r="H147" s="19" t="s">
        <v>2218</v>
      </c>
    </row>
    <row r="148" spans="1:8" ht="21" x14ac:dyDescent="0.7">
      <c r="A148" s="2">
        <v>147</v>
      </c>
      <c r="B148" s="8" t="s">
        <v>21</v>
      </c>
      <c r="C148" s="10" t="s">
        <v>2219</v>
      </c>
      <c r="D148" s="3"/>
      <c r="E148" s="3">
        <v>2</v>
      </c>
      <c r="F148" s="3">
        <f t="shared" ref="F148:F153" si="21">F147-E148</f>
        <v>33</v>
      </c>
      <c r="G148" s="3">
        <v>6584</v>
      </c>
      <c r="H148" s="5" t="s">
        <v>2196</v>
      </c>
    </row>
    <row r="149" spans="1:8" ht="21" x14ac:dyDescent="0.7">
      <c r="A149" s="2">
        <v>148</v>
      </c>
      <c r="B149" s="8" t="s">
        <v>21</v>
      </c>
      <c r="C149" s="10" t="s">
        <v>2243</v>
      </c>
      <c r="D149" s="3"/>
      <c r="E149" s="3">
        <v>1</v>
      </c>
      <c r="F149" s="3">
        <f t="shared" si="21"/>
        <v>32</v>
      </c>
      <c r="G149" s="3">
        <v>6630</v>
      </c>
      <c r="H149" s="5" t="s">
        <v>1293</v>
      </c>
    </row>
    <row r="150" spans="1:8" ht="21" x14ac:dyDescent="0.7">
      <c r="A150" s="2">
        <v>149</v>
      </c>
      <c r="B150" s="8" t="s">
        <v>21</v>
      </c>
      <c r="C150" s="10" t="s">
        <v>2263</v>
      </c>
      <c r="D150" s="3"/>
      <c r="E150" s="3">
        <v>5</v>
      </c>
      <c r="F150" s="3">
        <f t="shared" si="21"/>
        <v>27</v>
      </c>
      <c r="G150" s="3" t="s">
        <v>2264</v>
      </c>
      <c r="H150" s="5" t="s">
        <v>2265</v>
      </c>
    </row>
    <row r="151" spans="1:8" ht="21" x14ac:dyDescent="0.7">
      <c r="A151" s="2">
        <v>150</v>
      </c>
      <c r="B151" s="8" t="s">
        <v>21</v>
      </c>
      <c r="C151" s="10" t="s">
        <v>2287</v>
      </c>
      <c r="D151" s="3"/>
      <c r="E151" s="3">
        <v>2</v>
      </c>
      <c r="F151" s="3">
        <f t="shared" si="21"/>
        <v>25</v>
      </c>
      <c r="G151" s="3">
        <v>6702</v>
      </c>
      <c r="H151" s="5" t="s">
        <v>2288</v>
      </c>
    </row>
    <row r="152" spans="1:8" ht="21" x14ac:dyDescent="0.7">
      <c r="A152" s="2">
        <v>151</v>
      </c>
      <c r="B152" s="8" t="s">
        <v>21</v>
      </c>
      <c r="C152" s="10" t="s">
        <v>2306</v>
      </c>
      <c r="D152" s="3"/>
      <c r="E152" s="3">
        <v>6</v>
      </c>
      <c r="F152" s="3">
        <f t="shared" si="21"/>
        <v>19</v>
      </c>
      <c r="G152" s="3">
        <v>6725</v>
      </c>
      <c r="H152" s="5" t="s">
        <v>308</v>
      </c>
    </row>
    <row r="153" spans="1:8" ht="21" x14ac:dyDescent="0.7">
      <c r="A153" s="2">
        <v>152</v>
      </c>
      <c r="B153" s="8" t="s">
        <v>21</v>
      </c>
      <c r="C153" s="10" t="s">
        <v>2326</v>
      </c>
      <c r="D153" s="3"/>
      <c r="E153" s="3">
        <v>2</v>
      </c>
      <c r="F153" s="3">
        <f t="shared" si="21"/>
        <v>17</v>
      </c>
      <c r="G153" s="3" t="s">
        <v>2327</v>
      </c>
      <c r="H153" s="5" t="s">
        <v>55</v>
      </c>
    </row>
    <row r="154" spans="1:8" ht="21" x14ac:dyDescent="0.7">
      <c r="A154" s="2">
        <v>153</v>
      </c>
      <c r="B154" s="8" t="s">
        <v>21</v>
      </c>
      <c r="C154" s="10" t="s">
        <v>2331</v>
      </c>
      <c r="D154" s="3"/>
      <c r="E154" s="3">
        <v>15</v>
      </c>
      <c r="F154" s="3">
        <f>F153-E154</f>
        <v>2</v>
      </c>
      <c r="G154" s="3" t="s">
        <v>2332</v>
      </c>
      <c r="H154" s="5" t="s">
        <v>55</v>
      </c>
    </row>
    <row r="155" spans="1:8" ht="21" x14ac:dyDescent="0.7">
      <c r="A155" s="2">
        <v>154</v>
      </c>
      <c r="B155" s="8" t="s">
        <v>21</v>
      </c>
      <c r="C155" s="10" t="s">
        <v>2345</v>
      </c>
      <c r="D155" s="3"/>
      <c r="E155" s="3">
        <v>1</v>
      </c>
      <c r="F155" s="3">
        <f>F154-E155</f>
        <v>1</v>
      </c>
      <c r="G155" s="3" t="s">
        <v>2346</v>
      </c>
      <c r="H155" s="5" t="s">
        <v>2347</v>
      </c>
    </row>
    <row r="156" spans="1:8" ht="21" x14ac:dyDescent="0.7">
      <c r="A156" s="2">
        <v>155</v>
      </c>
      <c r="B156" s="8" t="s">
        <v>21</v>
      </c>
      <c r="C156" s="10" t="s">
        <v>2349</v>
      </c>
      <c r="D156" s="3"/>
      <c r="E156" s="3">
        <v>1</v>
      </c>
      <c r="F156" s="3">
        <f>F155-E156</f>
        <v>0</v>
      </c>
      <c r="G156" s="3" t="s">
        <v>2350</v>
      </c>
      <c r="H156" s="5" t="s">
        <v>55</v>
      </c>
    </row>
    <row r="157" spans="1:8" ht="21" customHeight="1" x14ac:dyDescent="0.3">
      <c r="A157" s="2">
        <v>156</v>
      </c>
      <c r="B157" s="8" t="s">
        <v>21</v>
      </c>
      <c r="C157" s="10" t="s">
        <v>2376</v>
      </c>
      <c r="D157" s="3">
        <v>48</v>
      </c>
      <c r="E157" s="3"/>
      <c r="F157" s="3">
        <v>48</v>
      </c>
      <c r="G157" s="44" t="s">
        <v>2377</v>
      </c>
      <c r="H157" s="45"/>
    </row>
    <row r="158" spans="1:8" ht="21" x14ac:dyDescent="0.7">
      <c r="A158" s="2">
        <v>157</v>
      </c>
      <c r="B158" s="8" t="s">
        <v>21</v>
      </c>
      <c r="C158" s="10" t="s">
        <v>2385</v>
      </c>
      <c r="D158" s="3"/>
      <c r="E158" s="3">
        <v>5</v>
      </c>
      <c r="F158" s="3">
        <f t="shared" ref="F158:F163" si="22">F157-E158</f>
        <v>43</v>
      </c>
      <c r="G158" s="3">
        <v>6863</v>
      </c>
      <c r="H158" s="5" t="s">
        <v>308</v>
      </c>
    </row>
    <row r="159" spans="1:8" ht="21" x14ac:dyDescent="0.7">
      <c r="A159" s="2">
        <v>158</v>
      </c>
      <c r="B159" s="8" t="s">
        <v>21</v>
      </c>
      <c r="C159" s="10" t="s">
        <v>2407</v>
      </c>
      <c r="D159" s="3"/>
      <c r="E159" s="3">
        <v>1</v>
      </c>
      <c r="F159" s="3">
        <f t="shared" si="22"/>
        <v>42</v>
      </c>
      <c r="G159" s="3">
        <v>6904</v>
      </c>
      <c r="H159" s="5" t="s">
        <v>311</v>
      </c>
    </row>
    <row r="160" spans="1:8" ht="21" x14ac:dyDescent="0.7">
      <c r="A160" s="2">
        <v>159</v>
      </c>
      <c r="B160" s="8" t="s">
        <v>21</v>
      </c>
      <c r="C160" s="10" t="s">
        <v>2408</v>
      </c>
      <c r="D160" s="3"/>
      <c r="E160" s="3">
        <v>1</v>
      </c>
      <c r="F160" s="3">
        <f t="shared" si="22"/>
        <v>41</v>
      </c>
      <c r="G160" s="3" t="s">
        <v>2409</v>
      </c>
      <c r="H160" s="5" t="s">
        <v>55</v>
      </c>
    </row>
    <row r="161" spans="1:8" ht="21" x14ac:dyDescent="0.7">
      <c r="A161" s="2">
        <v>160</v>
      </c>
      <c r="B161" s="8" t="s">
        <v>21</v>
      </c>
      <c r="C161" s="10" t="s">
        <v>2415</v>
      </c>
      <c r="D161" s="3"/>
      <c r="E161" s="3">
        <v>1</v>
      </c>
      <c r="F161" s="3">
        <f t="shared" si="22"/>
        <v>40</v>
      </c>
      <c r="G161" s="3" t="s">
        <v>2416</v>
      </c>
      <c r="H161" s="5" t="s">
        <v>2347</v>
      </c>
    </row>
    <row r="162" spans="1:8" ht="21" x14ac:dyDescent="0.7">
      <c r="A162" s="2">
        <v>161</v>
      </c>
      <c r="B162" s="8" t="s">
        <v>21</v>
      </c>
      <c r="C162" s="10" t="s">
        <v>2418</v>
      </c>
      <c r="D162" s="3"/>
      <c r="E162" s="3">
        <v>5</v>
      </c>
      <c r="F162" s="3">
        <f t="shared" si="22"/>
        <v>35</v>
      </c>
      <c r="G162" s="3">
        <v>6930</v>
      </c>
      <c r="H162" s="5" t="s">
        <v>1194</v>
      </c>
    </row>
    <row r="163" spans="1:8" ht="21" x14ac:dyDescent="0.7">
      <c r="A163" s="2">
        <v>162</v>
      </c>
      <c r="B163" s="8" t="s">
        <v>21</v>
      </c>
      <c r="C163" s="10" t="s">
        <v>2446</v>
      </c>
      <c r="D163" s="3"/>
      <c r="E163" s="3">
        <v>3</v>
      </c>
      <c r="F163" s="3">
        <f t="shared" si="22"/>
        <v>32</v>
      </c>
      <c r="G163" s="3">
        <v>6959</v>
      </c>
      <c r="H163" s="5" t="s">
        <v>1675</v>
      </c>
    </row>
    <row r="164" spans="1:8" ht="21" x14ac:dyDescent="0.7">
      <c r="A164" s="2">
        <v>163</v>
      </c>
      <c r="B164" s="8" t="s">
        <v>21</v>
      </c>
      <c r="C164" s="10" t="s">
        <v>2461</v>
      </c>
      <c r="D164" s="3"/>
      <c r="E164" s="3">
        <v>5</v>
      </c>
      <c r="F164" s="3">
        <f t="shared" ref="F164:F169" si="23">F163-E164</f>
        <v>27</v>
      </c>
      <c r="G164" s="3">
        <v>6986</v>
      </c>
      <c r="H164" s="5" t="s">
        <v>1675</v>
      </c>
    </row>
    <row r="165" spans="1:8" ht="21" x14ac:dyDescent="0.7">
      <c r="A165" s="2">
        <v>164</v>
      </c>
      <c r="B165" s="8" t="s">
        <v>21</v>
      </c>
      <c r="C165" s="10" t="s">
        <v>2464</v>
      </c>
      <c r="D165" s="3"/>
      <c r="E165" s="3">
        <v>6</v>
      </c>
      <c r="F165" s="3">
        <f t="shared" si="23"/>
        <v>21</v>
      </c>
      <c r="G165" s="3">
        <v>6987</v>
      </c>
      <c r="H165" s="5" t="s">
        <v>2465</v>
      </c>
    </row>
    <row r="166" spans="1:8" ht="21" x14ac:dyDescent="0.7">
      <c r="A166" s="2">
        <v>165</v>
      </c>
      <c r="B166" s="8" t="s">
        <v>21</v>
      </c>
      <c r="C166" s="10" t="s">
        <v>2473</v>
      </c>
      <c r="D166" s="3"/>
      <c r="E166" s="3">
        <v>2</v>
      </c>
      <c r="F166" s="3">
        <f t="shared" si="23"/>
        <v>19</v>
      </c>
      <c r="G166" s="3">
        <v>7003</v>
      </c>
      <c r="H166" s="5" t="s">
        <v>2474</v>
      </c>
    </row>
    <row r="167" spans="1:8" ht="21" x14ac:dyDescent="0.7">
      <c r="A167" s="2">
        <v>166</v>
      </c>
      <c r="B167" s="8" t="s">
        <v>21</v>
      </c>
      <c r="C167" s="10" t="s">
        <v>2483</v>
      </c>
      <c r="D167" s="3"/>
      <c r="E167" s="3">
        <v>2</v>
      </c>
      <c r="F167" s="3">
        <f t="shared" si="23"/>
        <v>17</v>
      </c>
      <c r="G167" s="3" t="s">
        <v>2484</v>
      </c>
      <c r="H167" s="5" t="s">
        <v>55</v>
      </c>
    </row>
    <row r="168" spans="1:8" ht="21" x14ac:dyDescent="0.7">
      <c r="A168" s="2">
        <v>167</v>
      </c>
      <c r="B168" s="8" t="s">
        <v>21</v>
      </c>
      <c r="C168" s="10" t="s">
        <v>2488</v>
      </c>
      <c r="D168" s="3"/>
      <c r="E168" s="3">
        <v>1</v>
      </c>
      <c r="F168" s="3">
        <f t="shared" si="23"/>
        <v>16</v>
      </c>
      <c r="G168" s="3" t="s">
        <v>2489</v>
      </c>
      <c r="H168" s="5" t="s">
        <v>55</v>
      </c>
    </row>
    <row r="169" spans="1:8" ht="21" x14ac:dyDescent="0.7">
      <c r="A169" s="2">
        <v>168</v>
      </c>
      <c r="B169" s="8" t="s">
        <v>21</v>
      </c>
      <c r="C169" s="10" t="s">
        <v>2506</v>
      </c>
      <c r="D169" s="3"/>
      <c r="E169" s="3">
        <v>1</v>
      </c>
      <c r="F169" s="3">
        <f t="shared" si="23"/>
        <v>15</v>
      </c>
      <c r="G169" s="3" t="s">
        <v>2507</v>
      </c>
      <c r="H169" s="5" t="s">
        <v>55</v>
      </c>
    </row>
    <row r="170" spans="1:8" ht="21" x14ac:dyDescent="0.7">
      <c r="A170" s="2">
        <v>169</v>
      </c>
      <c r="B170" s="8" t="s">
        <v>21</v>
      </c>
      <c r="C170" s="10" t="s">
        <v>2513</v>
      </c>
      <c r="D170" s="3"/>
      <c r="E170" s="3">
        <v>1</v>
      </c>
      <c r="F170" s="3">
        <f>F169-E170</f>
        <v>14</v>
      </c>
      <c r="G170" s="3">
        <v>7083</v>
      </c>
      <c r="H170" s="5" t="s">
        <v>2465</v>
      </c>
    </row>
    <row r="171" spans="1:8" ht="21" x14ac:dyDescent="0.7">
      <c r="A171" s="2">
        <v>170</v>
      </c>
      <c r="B171" s="8" t="s">
        <v>21</v>
      </c>
      <c r="C171" s="10" t="s">
        <v>2521</v>
      </c>
      <c r="D171" s="3"/>
      <c r="E171" s="3">
        <v>5</v>
      </c>
      <c r="F171" s="3">
        <f>F170-E171</f>
        <v>9</v>
      </c>
      <c r="G171" s="3">
        <v>7093</v>
      </c>
      <c r="H171" s="5" t="s">
        <v>308</v>
      </c>
    </row>
    <row r="172" spans="1:8" ht="21" x14ac:dyDescent="0.7">
      <c r="A172" s="2">
        <v>171</v>
      </c>
      <c r="B172" s="8" t="s">
        <v>21</v>
      </c>
      <c r="C172" s="10" t="s">
        <v>2529</v>
      </c>
      <c r="D172" s="3">
        <v>24</v>
      </c>
      <c r="E172" s="3"/>
      <c r="F172" s="3">
        <f>F171+D172</f>
        <v>33</v>
      </c>
      <c r="G172" s="3"/>
      <c r="H172" s="19" t="s">
        <v>2530</v>
      </c>
    </row>
    <row r="173" spans="1:8" ht="21" x14ac:dyDescent="0.7">
      <c r="A173" s="2">
        <v>172</v>
      </c>
      <c r="B173" s="8" t="s">
        <v>21</v>
      </c>
      <c r="C173" s="10" t="s">
        <v>2548</v>
      </c>
      <c r="D173" s="3"/>
      <c r="E173" s="3">
        <v>1</v>
      </c>
      <c r="F173" s="3">
        <f t="shared" ref="F173:F178" si="24">F172-E173</f>
        <v>32</v>
      </c>
      <c r="G173" s="3" t="s">
        <v>2549</v>
      </c>
      <c r="H173" s="5" t="s">
        <v>55</v>
      </c>
    </row>
    <row r="174" spans="1:8" ht="21" x14ac:dyDescent="0.7">
      <c r="A174" s="2">
        <v>173</v>
      </c>
      <c r="B174" s="8" t="s">
        <v>21</v>
      </c>
      <c r="C174" s="10" t="s">
        <v>2550</v>
      </c>
      <c r="D174" s="3"/>
      <c r="E174" s="3">
        <v>1</v>
      </c>
      <c r="F174" s="3">
        <f t="shared" si="24"/>
        <v>31</v>
      </c>
      <c r="G174" s="3">
        <v>7157</v>
      </c>
      <c r="H174" s="5" t="s">
        <v>2551</v>
      </c>
    </row>
    <row r="175" spans="1:8" ht="21" x14ac:dyDescent="0.7">
      <c r="A175" s="2">
        <v>174</v>
      </c>
      <c r="B175" s="8" t="s">
        <v>21</v>
      </c>
      <c r="C175" s="10" t="s">
        <v>2553</v>
      </c>
      <c r="D175" s="3"/>
      <c r="E175" s="3">
        <v>1</v>
      </c>
      <c r="F175" s="3">
        <f t="shared" si="24"/>
        <v>30</v>
      </c>
      <c r="G175" s="3" t="s">
        <v>2554</v>
      </c>
      <c r="H175" s="5" t="s">
        <v>55</v>
      </c>
    </row>
    <row r="176" spans="1:8" ht="21" x14ac:dyDescent="0.7">
      <c r="A176" s="2">
        <v>175</v>
      </c>
      <c r="B176" s="8" t="s">
        <v>21</v>
      </c>
      <c r="C176" s="10" t="s">
        <v>2565</v>
      </c>
      <c r="D176" s="3"/>
      <c r="E176" s="3">
        <v>2</v>
      </c>
      <c r="F176" s="3">
        <f t="shared" si="24"/>
        <v>28</v>
      </c>
      <c r="G176" s="3">
        <v>7181</v>
      </c>
      <c r="H176" s="5" t="s">
        <v>2005</v>
      </c>
    </row>
    <row r="177" spans="1:8" ht="21" x14ac:dyDescent="0.7">
      <c r="A177" s="2">
        <v>176</v>
      </c>
      <c r="B177" s="8" t="s">
        <v>21</v>
      </c>
      <c r="C177" s="10" t="s">
        <v>2574</v>
      </c>
      <c r="D177" s="3"/>
      <c r="E177" s="3">
        <v>4</v>
      </c>
      <c r="F177" s="3">
        <f t="shared" si="24"/>
        <v>24</v>
      </c>
      <c r="G177" s="3">
        <v>7203</v>
      </c>
      <c r="H177" s="5" t="s">
        <v>2474</v>
      </c>
    </row>
    <row r="178" spans="1:8" ht="21" x14ac:dyDescent="0.7">
      <c r="A178" s="2">
        <v>177</v>
      </c>
      <c r="B178" s="8" t="s">
        <v>21</v>
      </c>
      <c r="C178" s="10" t="s">
        <v>2577</v>
      </c>
      <c r="D178" s="3"/>
      <c r="E178" s="3">
        <v>1</v>
      </c>
      <c r="F178" s="3">
        <f t="shared" si="24"/>
        <v>23</v>
      </c>
      <c r="G178" s="3" t="s">
        <v>2578</v>
      </c>
      <c r="H178" s="5" t="s">
        <v>55</v>
      </c>
    </row>
    <row r="179" spans="1:8" ht="21" x14ac:dyDescent="0.7">
      <c r="A179" s="2">
        <v>178</v>
      </c>
      <c r="B179" s="8" t="s">
        <v>21</v>
      </c>
      <c r="C179" s="10" t="s">
        <v>2584</v>
      </c>
      <c r="D179" s="3">
        <v>24</v>
      </c>
      <c r="E179" s="3"/>
      <c r="F179" s="3">
        <f>F178+D179</f>
        <v>47</v>
      </c>
      <c r="G179" s="3"/>
      <c r="H179" s="19" t="s">
        <v>2586</v>
      </c>
    </row>
    <row r="180" spans="1:8" ht="21" x14ac:dyDescent="0.7">
      <c r="A180" s="2">
        <v>179</v>
      </c>
      <c r="B180" s="8" t="s">
        <v>21</v>
      </c>
      <c r="C180" s="10" t="s">
        <v>2589</v>
      </c>
      <c r="D180" s="3"/>
      <c r="E180" s="3">
        <v>1</v>
      </c>
      <c r="F180" s="3">
        <f t="shared" ref="F180:F185" si="25">F179-E180</f>
        <v>46</v>
      </c>
      <c r="G180" s="3">
        <v>7218</v>
      </c>
      <c r="H180" s="5" t="s">
        <v>1005</v>
      </c>
    </row>
    <row r="181" spans="1:8" ht="21" x14ac:dyDescent="0.7">
      <c r="A181" s="2">
        <v>180</v>
      </c>
      <c r="B181" s="8" t="s">
        <v>21</v>
      </c>
      <c r="C181" s="10" t="s">
        <v>2600</v>
      </c>
      <c r="D181" s="3"/>
      <c r="E181" s="3">
        <v>1</v>
      </c>
      <c r="F181" s="3">
        <f t="shared" si="25"/>
        <v>45</v>
      </c>
      <c r="G181" s="3" t="s">
        <v>2601</v>
      </c>
      <c r="H181" s="5" t="s">
        <v>55</v>
      </c>
    </row>
    <row r="182" spans="1:8" ht="21" x14ac:dyDescent="0.7">
      <c r="A182" s="2">
        <v>181</v>
      </c>
      <c r="B182" s="8" t="s">
        <v>21</v>
      </c>
      <c r="C182" s="10" t="s">
        <v>2605</v>
      </c>
      <c r="D182" s="3"/>
      <c r="E182" s="3">
        <v>5</v>
      </c>
      <c r="F182" s="3">
        <f t="shared" si="25"/>
        <v>40</v>
      </c>
      <c r="G182" s="3">
        <v>7240</v>
      </c>
      <c r="H182" s="5" t="s">
        <v>308</v>
      </c>
    </row>
    <row r="183" spans="1:8" ht="21" x14ac:dyDescent="0.7">
      <c r="A183" s="2">
        <v>182</v>
      </c>
      <c r="B183" s="8" t="s">
        <v>21</v>
      </c>
      <c r="C183" s="10" t="s">
        <v>2606</v>
      </c>
      <c r="D183" s="3"/>
      <c r="E183" s="3">
        <v>8</v>
      </c>
      <c r="F183" s="3">
        <f t="shared" si="25"/>
        <v>32</v>
      </c>
      <c r="G183" s="3">
        <v>7243</v>
      </c>
      <c r="H183" s="5" t="s">
        <v>308</v>
      </c>
    </row>
    <row r="184" spans="1:8" ht="21" x14ac:dyDescent="0.7">
      <c r="A184" s="2">
        <v>183</v>
      </c>
      <c r="B184" s="8" t="s">
        <v>21</v>
      </c>
      <c r="C184" s="10" t="s">
        <v>2609</v>
      </c>
      <c r="D184" s="3"/>
      <c r="E184" s="3">
        <v>3</v>
      </c>
      <c r="F184" s="3">
        <f t="shared" si="25"/>
        <v>29</v>
      </c>
      <c r="G184" s="3">
        <v>7247</v>
      </c>
      <c r="H184" s="5" t="s">
        <v>2610</v>
      </c>
    </row>
    <row r="185" spans="1:8" ht="21" x14ac:dyDescent="0.7">
      <c r="A185" s="2">
        <v>184</v>
      </c>
      <c r="B185" s="8" t="s">
        <v>21</v>
      </c>
      <c r="C185" s="10" t="s">
        <v>2642</v>
      </c>
      <c r="D185" s="3"/>
      <c r="E185" s="3">
        <v>10</v>
      </c>
      <c r="F185" s="3">
        <f t="shared" si="25"/>
        <v>19</v>
      </c>
      <c r="G185" s="3">
        <v>7297</v>
      </c>
      <c r="H185" s="5" t="s">
        <v>43</v>
      </c>
    </row>
    <row r="186" spans="1:8" ht="21" x14ac:dyDescent="0.7">
      <c r="A186" s="2">
        <v>185</v>
      </c>
      <c r="B186" s="8" t="s">
        <v>21</v>
      </c>
      <c r="C186" s="10" t="s">
        <v>2664</v>
      </c>
      <c r="D186" s="3"/>
      <c r="E186" s="3">
        <v>19</v>
      </c>
      <c r="F186" s="3">
        <f>F185-E186</f>
        <v>0</v>
      </c>
      <c r="G186" s="3">
        <v>7337</v>
      </c>
      <c r="H186" s="5" t="s">
        <v>2667</v>
      </c>
    </row>
    <row r="187" spans="1:8" ht="21" x14ac:dyDescent="0.7">
      <c r="A187" s="2">
        <v>186</v>
      </c>
      <c r="B187" s="8" t="s">
        <v>21</v>
      </c>
      <c r="C187" s="10"/>
      <c r="D187" s="3"/>
      <c r="E187" s="3"/>
      <c r="F187" s="3"/>
      <c r="G187" s="3"/>
      <c r="H187" s="5"/>
    </row>
    <row r="188" spans="1:8" ht="21" x14ac:dyDescent="0.7">
      <c r="A188" s="2">
        <v>187</v>
      </c>
      <c r="B188" s="8" t="s">
        <v>21</v>
      </c>
      <c r="C188" s="10"/>
      <c r="D188" s="3"/>
      <c r="E188" s="3"/>
      <c r="F188" s="3"/>
      <c r="G188" s="3"/>
      <c r="H188" s="5"/>
    </row>
    <row r="189" spans="1:8" ht="21" x14ac:dyDescent="0.7">
      <c r="A189" s="2">
        <v>188</v>
      </c>
      <c r="B189" s="8" t="s">
        <v>21</v>
      </c>
      <c r="C189" s="10"/>
      <c r="D189" s="3"/>
      <c r="E189" s="3"/>
      <c r="F189" s="3"/>
      <c r="G189" s="3"/>
      <c r="H189" s="5"/>
    </row>
  </sheetData>
  <mergeCells count="3">
    <mergeCell ref="G8:H8"/>
    <mergeCell ref="G29:H29"/>
    <mergeCell ref="G157:H157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I24"/>
  <sheetViews>
    <sheetView rightToLeft="1" zoomScale="110" zoomScaleNormal="110" workbookViewId="0">
      <pane ySplit="1" topLeftCell="A20" activePane="bottomLeft" state="frozen"/>
      <selection pane="bottomLeft" activeCell="G27" sqref="G27"/>
    </sheetView>
  </sheetViews>
  <sheetFormatPr defaultRowHeight="14.4" x14ac:dyDescent="0.3"/>
  <cols>
    <col min="2" max="2" width="10.44140625" bestFit="1" customWidth="1"/>
    <col min="3" max="3" width="10.88671875" bestFit="1" customWidth="1"/>
    <col min="7" max="7" width="11.88671875" bestFit="1" customWidth="1"/>
    <col min="8" max="8" width="18.33203125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1" x14ac:dyDescent="0.7">
      <c r="A2" s="2">
        <v>1</v>
      </c>
      <c r="B2" s="8" t="s">
        <v>22</v>
      </c>
      <c r="C2" s="10" t="s">
        <v>63</v>
      </c>
      <c r="D2" s="3"/>
      <c r="E2" s="3">
        <v>3</v>
      </c>
      <c r="F2" s="3">
        <v>82</v>
      </c>
      <c r="G2" s="3" t="s">
        <v>64</v>
      </c>
      <c r="H2" s="5" t="s">
        <v>55</v>
      </c>
    </row>
    <row r="3" spans="1:9" ht="20.25" customHeight="1" x14ac:dyDescent="0.3">
      <c r="A3" s="2">
        <v>2</v>
      </c>
      <c r="B3" s="8"/>
      <c r="C3" s="10"/>
      <c r="D3" s="3"/>
      <c r="E3" s="3">
        <v>1</v>
      </c>
      <c r="F3" s="3">
        <f t="shared" ref="F3:F8" si="0">F2-E3</f>
        <v>81</v>
      </c>
      <c r="G3" s="46" t="s">
        <v>196</v>
      </c>
      <c r="H3" s="47"/>
    </row>
    <row r="4" spans="1:9" ht="21" x14ac:dyDescent="0.7">
      <c r="A4" s="2">
        <v>3</v>
      </c>
      <c r="B4" s="8" t="s">
        <v>22</v>
      </c>
      <c r="C4" s="10" t="s">
        <v>332</v>
      </c>
      <c r="D4" s="3"/>
      <c r="E4" s="3">
        <v>19</v>
      </c>
      <c r="F4" s="3">
        <f t="shared" si="0"/>
        <v>62</v>
      </c>
      <c r="G4" s="3">
        <v>3984</v>
      </c>
      <c r="H4" s="5" t="s">
        <v>333</v>
      </c>
    </row>
    <row r="5" spans="1:9" ht="21" x14ac:dyDescent="0.7">
      <c r="A5" s="2">
        <v>4</v>
      </c>
      <c r="B5" s="8" t="s">
        <v>22</v>
      </c>
      <c r="C5" s="10" t="s">
        <v>459</v>
      </c>
      <c r="D5" s="3"/>
      <c r="E5" s="3">
        <v>18</v>
      </c>
      <c r="F5" s="3">
        <f t="shared" si="0"/>
        <v>44</v>
      </c>
      <c r="G5" s="3">
        <v>4149</v>
      </c>
      <c r="H5" s="5" t="s">
        <v>460</v>
      </c>
    </row>
    <row r="6" spans="1:9" ht="21" x14ac:dyDescent="0.7">
      <c r="A6" s="2">
        <v>5</v>
      </c>
      <c r="B6" s="8" t="s">
        <v>22</v>
      </c>
      <c r="C6" s="10" t="s">
        <v>707</v>
      </c>
      <c r="D6" s="3"/>
      <c r="E6" s="3">
        <v>5</v>
      </c>
      <c r="F6" s="3">
        <f t="shared" si="0"/>
        <v>39</v>
      </c>
      <c r="G6" s="3">
        <v>4464</v>
      </c>
      <c r="H6" s="5" t="s">
        <v>676</v>
      </c>
    </row>
    <row r="7" spans="1:9" ht="21" x14ac:dyDescent="0.7">
      <c r="A7" s="2">
        <v>6</v>
      </c>
      <c r="B7" s="8" t="s">
        <v>22</v>
      </c>
      <c r="C7" s="10" t="s">
        <v>793</v>
      </c>
      <c r="D7" s="3"/>
      <c r="E7" s="3">
        <v>1</v>
      </c>
      <c r="F7" s="3">
        <f t="shared" si="0"/>
        <v>38</v>
      </c>
      <c r="G7" s="3" t="s">
        <v>794</v>
      </c>
      <c r="H7" s="5" t="s">
        <v>49</v>
      </c>
    </row>
    <row r="8" spans="1:9" ht="21" x14ac:dyDescent="0.7">
      <c r="A8" s="2">
        <v>7</v>
      </c>
      <c r="B8" s="8" t="s">
        <v>22</v>
      </c>
      <c r="C8" s="10" t="s">
        <v>965</v>
      </c>
      <c r="D8" s="3"/>
      <c r="E8" s="3">
        <v>5</v>
      </c>
      <c r="F8" s="3">
        <f t="shared" si="0"/>
        <v>33</v>
      </c>
      <c r="G8" s="3"/>
      <c r="H8" s="5" t="s">
        <v>676</v>
      </c>
      <c r="I8" t="s">
        <v>966</v>
      </c>
    </row>
    <row r="9" spans="1:9" ht="21" x14ac:dyDescent="0.7">
      <c r="A9" s="2">
        <v>8</v>
      </c>
      <c r="B9" s="8" t="s">
        <v>22</v>
      </c>
      <c r="C9" s="10" t="s">
        <v>997</v>
      </c>
      <c r="D9" s="3"/>
      <c r="E9" s="3">
        <v>1</v>
      </c>
      <c r="F9" s="3">
        <f>F8-E9</f>
        <v>32</v>
      </c>
      <c r="G9" s="3"/>
      <c r="H9" s="5" t="s">
        <v>676</v>
      </c>
      <c r="I9" t="s">
        <v>966</v>
      </c>
    </row>
    <row r="10" spans="1:9" ht="21" x14ac:dyDescent="0.7">
      <c r="A10" s="2">
        <v>9</v>
      </c>
      <c r="B10" s="8" t="s">
        <v>22</v>
      </c>
      <c r="C10" s="10" t="s">
        <v>1323</v>
      </c>
      <c r="D10" s="3"/>
      <c r="E10" s="3">
        <v>3</v>
      </c>
      <c r="F10" s="3">
        <f>F9-E10</f>
        <v>29</v>
      </c>
      <c r="G10" s="3">
        <v>5321</v>
      </c>
      <c r="H10" s="5" t="s">
        <v>1194</v>
      </c>
    </row>
    <row r="11" spans="1:9" ht="21" x14ac:dyDescent="0.7">
      <c r="A11" s="2">
        <v>10</v>
      </c>
      <c r="B11" s="8" t="s">
        <v>22</v>
      </c>
      <c r="C11" s="10" t="s">
        <v>1368</v>
      </c>
      <c r="D11" s="3"/>
      <c r="E11" s="3">
        <v>3</v>
      </c>
      <c r="F11" s="3">
        <f>F10-E11</f>
        <v>26</v>
      </c>
      <c r="G11" s="3">
        <v>5382</v>
      </c>
      <c r="H11" s="5" t="s">
        <v>1194</v>
      </c>
    </row>
    <row r="12" spans="1:9" ht="21" x14ac:dyDescent="0.7">
      <c r="A12" s="2">
        <v>11</v>
      </c>
      <c r="B12" s="8" t="s">
        <v>22</v>
      </c>
      <c r="C12" s="10" t="s">
        <v>1538</v>
      </c>
      <c r="D12" s="3">
        <v>4</v>
      </c>
      <c r="E12" s="3"/>
      <c r="F12" s="3">
        <f>F11+D12</f>
        <v>30</v>
      </c>
      <c r="G12" s="3"/>
      <c r="H12" s="19" t="s">
        <v>1539</v>
      </c>
    </row>
    <row r="13" spans="1:9" ht="21" x14ac:dyDescent="0.7">
      <c r="A13" s="2">
        <v>12</v>
      </c>
      <c r="B13" s="8" t="s">
        <v>22</v>
      </c>
      <c r="C13" s="10" t="s">
        <v>1567</v>
      </c>
      <c r="D13" s="3"/>
      <c r="E13" s="3">
        <v>1</v>
      </c>
      <c r="F13" s="3">
        <f t="shared" ref="F13:F18" si="1">F12-E13</f>
        <v>29</v>
      </c>
      <c r="G13" s="3">
        <v>5624</v>
      </c>
      <c r="H13" s="5" t="s">
        <v>1568</v>
      </c>
    </row>
    <row r="14" spans="1:9" ht="21" x14ac:dyDescent="0.7">
      <c r="A14" s="2">
        <v>13</v>
      </c>
      <c r="B14" s="8" t="s">
        <v>22</v>
      </c>
      <c r="C14" s="10" t="s">
        <v>1729</v>
      </c>
      <c r="D14" s="3"/>
      <c r="E14" s="3">
        <v>5</v>
      </c>
      <c r="F14" s="3">
        <f t="shared" si="1"/>
        <v>24</v>
      </c>
      <c r="G14" s="3">
        <v>5880</v>
      </c>
      <c r="H14" s="5" t="s">
        <v>1194</v>
      </c>
    </row>
    <row r="15" spans="1:9" ht="21" x14ac:dyDescent="0.7">
      <c r="A15" s="2">
        <v>14</v>
      </c>
      <c r="B15" s="8" t="s">
        <v>22</v>
      </c>
      <c r="C15" s="10" t="s">
        <v>1765</v>
      </c>
      <c r="D15" s="3"/>
      <c r="E15" s="3">
        <v>3</v>
      </c>
      <c r="F15" s="3">
        <f t="shared" si="1"/>
        <v>21</v>
      </c>
      <c r="G15" s="3">
        <v>5964</v>
      </c>
      <c r="H15" s="5" t="s">
        <v>1673</v>
      </c>
    </row>
    <row r="16" spans="1:9" ht="21" x14ac:dyDescent="0.7">
      <c r="A16" s="2">
        <v>15</v>
      </c>
      <c r="B16" s="8" t="s">
        <v>22</v>
      </c>
      <c r="C16" s="10" t="s">
        <v>1771</v>
      </c>
      <c r="D16" s="3"/>
      <c r="E16" s="3">
        <v>6</v>
      </c>
      <c r="F16" s="3">
        <f t="shared" si="1"/>
        <v>15</v>
      </c>
      <c r="G16" s="3">
        <v>5970</v>
      </c>
      <c r="H16" s="5" t="s">
        <v>1772</v>
      </c>
    </row>
    <row r="17" spans="1:8" ht="21" x14ac:dyDescent="0.7">
      <c r="A17" s="2">
        <v>16</v>
      </c>
      <c r="B17" s="8" t="s">
        <v>22</v>
      </c>
      <c r="C17" s="10" t="s">
        <v>1784</v>
      </c>
      <c r="D17" s="3"/>
      <c r="E17" s="3">
        <v>1</v>
      </c>
      <c r="F17" s="3">
        <f t="shared" si="1"/>
        <v>14</v>
      </c>
      <c r="G17" s="3">
        <v>5986</v>
      </c>
      <c r="H17" s="5" t="s">
        <v>1321</v>
      </c>
    </row>
    <row r="18" spans="1:8" ht="21" x14ac:dyDescent="0.7">
      <c r="A18" s="2">
        <v>17</v>
      </c>
      <c r="B18" s="8" t="s">
        <v>22</v>
      </c>
      <c r="C18" s="10" t="s">
        <v>1802</v>
      </c>
      <c r="D18" s="3"/>
      <c r="E18" s="3">
        <v>1</v>
      </c>
      <c r="F18" s="3">
        <f t="shared" si="1"/>
        <v>13</v>
      </c>
      <c r="G18" s="3" t="s">
        <v>1810</v>
      </c>
      <c r="H18" s="5" t="s">
        <v>55</v>
      </c>
    </row>
    <row r="19" spans="1:8" ht="21" x14ac:dyDescent="0.7">
      <c r="A19" s="2">
        <v>18</v>
      </c>
      <c r="B19" s="8" t="s">
        <v>22</v>
      </c>
      <c r="C19" s="10" t="s">
        <v>1811</v>
      </c>
      <c r="D19" s="3"/>
      <c r="E19" s="3">
        <v>1</v>
      </c>
      <c r="F19" s="3">
        <f>F18-E19</f>
        <v>12</v>
      </c>
      <c r="G19" s="3">
        <v>6044</v>
      </c>
      <c r="H19" s="5" t="s">
        <v>1309</v>
      </c>
    </row>
    <row r="20" spans="1:8" ht="21" x14ac:dyDescent="0.7">
      <c r="A20" s="2">
        <v>19</v>
      </c>
      <c r="B20" s="8" t="s">
        <v>22</v>
      </c>
      <c r="C20" s="10" t="s">
        <v>1827</v>
      </c>
      <c r="D20" s="3"/>
      <c r="E20" s="3">
        <v>1</v>
      </c>
      <c r="F20" s="3">
        <f>F19-E20</f>
        <v>11</v>
      </c>
      <c r="G20" s="3">
        <v>6057</v>
      </c>
      <c r="H20" s="5" t="s">
        <v>308</v>
      </c>
    </row>
    <row r="21" spans="1:8" ht="21" x14ac:dyDescent="0.7">
      <c r="A21" s="2">
        <v>20</v>
      </c>
      <c r="B21" s="8" t="s">
        <v>22</v>
      </c>
      <c r="C21" s="10" t="s">
        <v>1838</v>
      </c>
      <c r="D21" s="3"/>
      <c r="E21" s="3">
        <v>8</v>
      </c>
      <c r="F21" s="3">
        <f>F20-E21</f>
        <v>3</v>
      </c>
      <c r="G21" s="3">
        <v>6073</v>
      </c>
      <c r="H21" s="5" t="s">
        <v>308</v>
      </c>
    </row>
    <row r="22" spans="1:8" ht="21" x14ac:dyDescent="0.7">
      <c r="A22" s="2">
        <v>21</v>
      </c>
      <c r="B22" s="8" t="s">
        <v>22</v>
      </c>
      <c r="C22" s="10" t="s">
        <v>1863</v>
      </c>
      <c r="D22" s="3">
        <v>1</v>
      </c>
      <c r="E22" s="3"/>
      <c r="F22" s="3">
        <f>F21+D22</f>
        <v>4</v>
      </c>
      <c r="G22" s="3"/>
      <c r="H22" s="5" t="s">
        <v>1864</v>
      </c>
    </row>
    <row r="23" spans="1:8" ht="21" x14ac:dyDescent="0.7">
      <c r="A23" s="2">
        <v>22</v>
      </c>
      <c r="B23" s="8" t="s">
        <v>22</v>
      </c>
      <c r="C23" s="10" t="s">
        <v>1877</v>
      </c>
      <c r="D23" s="3"/>
      <c r="E23" s="3">
        <v>4</v>
      </c>
      <c r="F23" s="3">
        <f>F22-E23</f>
        <v>0</v>
      </c>
      <c r="G23" s="3">
        <v>6113</v>
      </c>
      <c r="H23" s="5" t="s">
        <v>1772</v>
      </c>
    </row>
    <row r="24" spans="1:8" ht="21" x14ac:dyDescent="0.7">
      <c r="A24" s="2">
        <v>23</v>
      </c>
      <c r="B24" s="8" t="s">
        <v>22</v>
      </c>
      <c r="C24" s="10"/>
      <c r="D24" s="3"/>
      <c r="E24" s="3"/>
      <c r="F24" s="3"/>
      <c r="G24" s="3"/>
      <c r="H24" s="5"/>
    </row>
  </sheetData>
  <mergeCells count="1">
    <mergeCell ref="G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39997558519241921"/>
  </sheetPr>
  <dimension ref="A1:H96"/>
  <sheetViews>
    <sheetView rightToLeft="1" zoomScale="130" zoomScaleNormal="130" workbookViewId="0">
      <pane ySplit="1" topLeftCell="A89" activePane="bottomLeft" state="frozen"/>
      <selection pane="bottomLeft" activeCell="F96" sqref="F96"/>
    </sheetView>
  </sheetViews>
  <sheetFormatPr defaultRowHeight="14.4" x14ac:dyDescent="0.3"/>
  <cols>
    <col min="2" max="2" width="12.44140625" bestFit="1" customWidth="1"/>
    <col min="3" max="3" width="10.88671875" bestFit="1" customWidth="1"/>
    <col min="7" max="7" width="9.6640625" customWidth="1"/>
    <col min="8" max="8" width="19.886718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23</v>
      </c>
      <c r="C2" s="10" t="s">
        <v>65</v>
      </c>
      <c r="D2" s="3"/>
      <c r="E2" s="3">
        <v>1</v>
      </c>
      <c r="F2" s="3">
        <v>148</v>
      </c>
      <c r="G2" s="3">
        <v>3615</v>
      </c>
      <c r="H2" s="5" t="s">
        <v>66</v>
      </c>
    </row>
    <row r="3" spans="1:8" ht="21" x14ac:dyDescent="0.7">
      <c r="A3" s="2">
        <v>2</v>
      </c>
      <c r="B3" s="8" t="s">
        <v>23</v>
      </c>
      <c r="C3" s="10" t="s">
        <v>92</v>
      </c>
      <c r="D3" s="3"/>
      <c r="E3" s="3">
        <v>2</v>
      </c>
      <c r="F3" s="3">
        <f>F2-E3</f>
        <v>146</v>
      </c>
      <c r="G3" s="3">
        <v>3650</v>
      </c>
      <c r="H3" s="5" t="s">
        <v>94</v>
      </c>
    </row>
    <row r="4" spans="1:8" ht="20.25" customHeight="1" x14ac:dyDescent="0.3">
      <c r="A4" s="2">
        <v>3</v>
      </c>
      <c r="B4" s="8"/>
      <c r="C4" s="10"/>
      <c r="D4" s="3"/>
      <c r="E4" s="3">
        <v>4</v>
      </c>
      <c r="F4" s="3">
        <f>F3+E4</f>
        <v>150</v>
      </c>
      <c r="G4" s="46" t="s">
        <v>194</v>
      </c>
      <c r="H4" s="47"/>
    </row>
    <row r="5" spans="1:8" ht="21" x14ac:dyDescent="0.7">
      <c r="A5" s="2">
        <v>4</v>
      </c>
      <c r="B5" s="8" t="s">
        <v>23</v>
      </c>
      <c r="C5" s="10" t="s">
        <v>152</v>
      </c>
      <c r="D5" s="3"/>
      <c r="E5" s="3">
        <v>4</v>
      </c>
      <c r="F5" s="3">
        <f>F4-E5</f>
        <v>146</v>
      </c>
      <c r="G5" s="3">
        <v>3749</v>
      </c>
      <c r="H5" s="5" t="s">
        <v>153</v>
      </c>
    </row>
    <row r="6" spans="1:8" ht="21" x14ac:dyDescent="0.7">
      <c r="A6" s="2">
        <v>5</v>
      </c>
      <c r="B6" s="8" t="s">
        <v>23</v>
      </c>
      <c r="C6" s="10" t="s">
        <v>154</v>
      </c>
      <c r="D6" s="3"/>
      <c r="E6" s="3">
        <v>60</v>
      </c>
      <c r="F6" s="3">
        <f>F5-E6</f>
        <v>86</v>
      </c>
      <c r="G6" s="3">
        <v>3750</v>
      </c>
      <c r="H6" s="5" t="s">
        <v>80</v>
      </c>
    </row>
    <row r="7" spans="1:8" ht="21" x14ac:dyDescent="0.7">
      <c r="A7" s="2">
        <v>6</v>
      </c>
      <c r="B7" s="8" t="s">
        <v>23</v>
      </c>
      <c r="C7" s="10" t="s">
        <v>224</v>
      </c>
      <c r="D7" s="3"/>
      <c r="E7" s="3">
        <v>4</v>
      </c>
      <c r="F7" s="3">
        <f>F6-E7</f>
        <v>82</v>
      </c>
      <c r="G7" s="3" t="s">
        <v>225</v>
      </c>
      <c r="H7" s="5" t="s">
        <v>55</v>
      </c>
    </row>
    <row r="8" spans="1:8" ht="21" x14ac:dyDescent="0.7">
      <c r="A8" s="2">
        <v>7</v>
      </c>
      <c r="B8" s="8" t="s">
        <v>23</v>
      </c>
      <c r="C8" s="13" t="s">
        <v>246</v>
      </c>
      <c r="D8" s="3">
        <v>80</v>
      </c>
      <c r="E8" s="3"/>
      <c r="F8" s="3">
        <f>F7+D8</f>
        <v>162</v>
      </c>
      <c r="G8" s="3"/>
      <c r="H8" s="5"/>
    </row>
    <row r="9" spans="1:8" ht="21" x14ac:dyDescent="0.7">
      <c r="A9" s="2">
        <v>8</v>
      </c>
      <c r="B9" s="8" t="s">
        <v>23</v>
      </c>
      <c r="C9" s="10" t="s">
        <v>247</v>
      </c>
      <c r="D9" s="3"/>
      <c r="E9" s="3">
        <v>4</v>
      </c>
      <c r="F9" s="3">
        <f t="shared" ref="F9:F14" si="0">F8-E9</f>
        <v>158</v>
      </c>
      <c r="G9" s="3">
        <v>3868</v>
      </c>
      <c r="H9" s="5" t="s">
        <v>153</v>
      </c>
    </row>
    <row r="10" spans="1:8" ht="21" x14ac:dyDescent="0.7">
      <c r="A10" s="2">
        <v>9</v>
      </c>
      <c r="B10" s="8" t="s">
        <v>23</v>
      </c>
      <c r="C10" s="10" t="s">
        <v>255</v>
      </c>
      <c r="D10" s="3"/>
      <c r="E10" s="3">
        <v>1</v>
      </c>
      <c r="F10" s="3">
        <f t="shared" si="0"/>
        <v>157</v>
      </c>
      <c r="G10" s="3" t="s">
        <v>256</v>
      </c>
      <c r="H10" s="5" t="s">
        <v>55</v>
      </c>
    </row>
    <row r="11" spans="1:8" ht="21" x14ac:dyDescent="0.7">
      <c r="A11" s="2">
        <v>10</v>
      </c>
      <c r="B11" s="8" t="s">
        <v>23</v>
      </c>
      <c r="C11" s="10" t="s">
        <v>255</v>
      </c>
      <c r="D11" s="3"/>
      <c r="E11" s="3">
        <v>15</v>
      </c>
      <c r="F11" s="3">
        <f t="shared" si="0"/>
        <v>142</v>
      </c>
      <c r="G11" s="3">
        <v>3874</v>
      </c>
      <c r="H11" s="5" t="s">
        <v>257</v>
      </c>
    </row>
    <row r="12" spans="1:8" ht="21" x14ac:dyDescent="0.7">
      <c r="A12" s="2">
        <v>11</v>
      </c>
      <c r="B12" s="8" t="s">
        <v>23</v>
      </c>
      <c r="C12" s="10" t="s">
        <v>276</v>
      </c>
      <c r="D12" s="3"/>
      <c r="E12" s="3">
        <v>2</v>
      </c>
      <c r="F12" s="3">
        <f t="shared" si="0"/>
        <v>140</v>
      </c>
      <c r="G12" s="3" t="s">
        <v>278</v>
      </c>
      <c r="H12" s="5" t="s">
        <v>55</v>
      </c>
    </row>
    <row r="13" spans="1:8" ht="21" x14ac:dyDescent="0.7">
      <c r="A13" s="2">
        <v>12</v>
      </c>
      <c r="B13" s="8" t="s">
        <v>23</v>
      </c>
      <c r="C13" s="10" t="s">
        <v>281</v>
      </c>
      <c r="D13" s="3"/>
      <c r="E13" s="3">
        <v>1</v>
      </c>
      <c r="F13" s="3">
        <f t="shared" si="0"/>
        <v>139</v>
      </c>
      <c r="G13" s="3">
        <v>3902</v>
      </c>
      <c r="H13" s="5" t="s">
        <v>282</v>
      </c>
    </row>
    <row r="14" spans="1:8" ht="21" x14ac:dyDescent="0.7">
      <c r="A14" s="2">
        <v>13</v>
      </c>
      <c r="B14" s="8" t="s">
        <v>23</v>
      </c>
      <c r="C14" s="10" t="s">
        <v>285</v>
      </c>
      <c r="D14" s="3"/>
      <c r="E14" s="3">
        <v>1</v>
      </c>
      <c r="F14" s="3">
        <f t="shared" si="0"/>
        <v>138</v>
      </c>
      <c r="G14" s="3">
        <v>3904</v>
      </c>
      <c r="H14" s="5" t="s">
        <v>66</v>
      </c>
    </row>
    <row r="15" spans="1:8" ht="21" x14ac:dyDescent="0.7">
      <c r="A15" s="2">
        <v>14</v>
      </c>
      <c r="B15" s="8" t="s">
        <v>23</v>
      </c>
      <c r="C15" s="10" t="s">
        <v>310</v>
      </c>
      <c r="D15" s="3"/>
      <c r="E15" s="3">
        <v>1</v>
      </c>
      <c r="F15" s="3">
        <f>F14-E15</f>
        <v>137</v>
      </c>
      <c r="G15" s="3">
        <v>3932</v>
      </c>
      <c r="H15" s="5" t="s">
        <v>282</v>
      </c>
    </row>
    <row r="16" spans="1:8" ht="21" x14ac:dyDescent="0.7">
      <c r="A16" s="2">
        <v>15</v>
      </c>
      <c r="B16" s="8" t="s">
        <v>23</v>
      </c>
      <c r="C16" s="10" t="s">
        <v>320</v>
      </c>
      <c r="D16" s="3"/>
      <c r="E16" s="3">
        <v>10</v>
      </c>
      <c r="F16" s="3">
        <f>F15-E16</f>
        <v>127</v>
      </c>
      <c r="G16" s="3" t="s">
        <v>321</v>
      </c>
      <c r="H16" s="5" t="s">
        <v>55</v>
      </c>
    </row>
    <row r="17" spans="1:8" ht="21" x14ac:dyDescent="0.7">
      <c r="A17" s="2">
        <v>16</v>
      </c>
      <c r="B17" s="8" t="s">
        <v>23</v>
      </c>
      <c r="C17" s="10" t="s">
        <v>327</v>
      </c>
      <c r="D17" s="3"/>
      <c r="E17" s="3">
        <v>1</v>
      </c>
      <c r="F17" s="3">
        <f>F16-E17</f>
        <v>126</v>
      </c>
      <c r="G17" s="3">
        <v>3965</v>
      </c>
      <c r="H17" s="5" t="s">
        <v>66</v>
      </c>
    </row>
    <row r="18" spans="1:8" ht="21" x14ac:dyDescent="0.7">
      <c r="A18" s="2">
        <v>17</v>
      </c>
      <c r="B18" s="8" t="s">
        <v>23</v>
      </c>
      <c r="C18" s="10" t="s">
        <v>347</v>
      </c>
      <c r="D18" s="3"/>
      <c r="E18" s="3">
        <v>4</v>
      </c>
      <c r="F18" s="3">
        <f>F17-E18</f>
        <v>122</v>
      </c>
      <c r="G18" s="3">
        <v>4007</v>
      </c>
      <c r="H18" s="5" t="s">
        <v>153</v>
      </c>
    </row>
    <row r="19" spans="1:8" ht="20.25" customHeight="1" x14ac:dyDescent="0.3">
      <c r="A19" s="2">
        <v>18</v>
      </c>
      <c r="B19" s="8" t="s">
        <v>23</v>
      </c>
      <c r="C19" s="10"/>
      <c r="D19" s="3"/>
      <c r="E19" s="3"/>
      <c r="F19" s="3">
        <v>125</v>
      </c>
      <c r="G19" s="48" t="s">
        <v>376</v>
      </c>
      <c r="H19" s="49"/>
    </row>
    <row r="20" spans="1:8" ht="21" x14ac:dyDescent="0.7">
      <c r="A20" s="2">
        <v>19</v>
      </c>
      <c r="B20" s="8" t="s">
        <v>23</v>
      </c>
      <c r="C20" s="10" t="s">
        <v>384</v>
      </c>
      <c r="D20" s="3"/>
      <c r="E20" s="3">
        <v>2</v>
      </c>
      <c r="F20" s="3">
        <f t="shared" ref="F20:F25" si="1">F19-E20</f>
        <v>123</v>
      </c>
      <c r="G20" s="3">
        <v>4074</v>
      </c>
      <c r="H20" s="5" t="s">
        <v>257</v>
      </c>
    </row>
    <row r="21" spans="1:8" ht="21" x14ac:dyDescent="0.7">
      <c r="A21" s="2">
        <v>20</v>
      </c>
      <c r="B21" s="8" t="s">
        <v>23</v>
      </c>
      <c r="C21" s="10" t="s">
        <v>389</v>
      </c>
      <c r="D21" s="3"/>
      <c r="E21" s="3">
        <v>1</v>
      </c>
      <c r="F21" s="3">
        <f t="shared" si="1"/>
        <v>122</v>
      </c>
      <c r="G21" s="3">
        <v>4077</v>
      </c>
      <c r="H21" s="5" t="s">
        <v>282</v>
      </c>
    </row>
    <row r="22" spans="1:8" ht="21" x14ac:dyDescent="0.7">
      <c r="A22" s="2">
        <v>21</v>
      </c>
      <c r="B22" s="8" t="s">
        <v>23</v>
      </c>
      <c r="C22" s="10" t="s">
        <v>423</v>
      </c>
      <c r="D22" s="3"/>
      <c r="E22" s="3">
        <v>1</v>
      </c>
      <c r="F22" s="3">
        <f t="shared" si="1"/>
        <v>121</v>
      </c>
      <c r="G22" s="3">
        <v>4098</v>
      </c>
      <c r="H22" s="5" t="s">
        <v>66</v>
      </c>
    </row>
    <row r="23" spans="1:8" ht="21" x14ac:dyDescent="0.7">
      <c r="A23" s="2">
        <v>22</v>
      </c>
      <c r="B23" s="8" t="s">
        <v>23</v>
      </c>
      <c r="C23" s="10" t="s">
        <v>450</v>
      </c>
      <c r="D23" s="3"/>
      <c r="E23" s="3">
        <v>1</v>
      </c>
      <c r="F23" s="3">
        <f t="shared" si="1"/>
        <v>120</v>
      </c>
      <c r="G23" s="3">
        <v>4144</v>
      </c>
      <c r="H23" s="5" t="s">
        <v>66</v>
      </c>
    </row>
    <row r="24" spans="1:8" ht="21" x14ac:dyDescent="0.7">
      <c r="A24" s="2">
        <v>23</v>
      </c>
      <c r="B24" s="8" t="s">
        <v>23</v>
      </c>
      <c r="C24" s="10" t="s">
        <v>473</v>
      </c>
      <c r="D24" s="3"/>
      <c r="E24" s="3">
        <v>1</v>
      </c>
      <c r="F24" s="3">
        <f t="shared" si="1"/>
        <v>119</v>
      </c>
      <c r="G24" s="3">
        <v>4158</v>
      </c>
      <c r="H24" s="5" t="s">
        <v>433</v>
      </c>
    </row>
    <row r="25" spans="1:8" ht="21" x14ac:dyDescent="0.7">
      <c r="A25" s="2">
        <v>24</v>
      </c>
      <c r="B25" s="8" t="s">
        <v>23</v>
      </c>
      <c r="C25" s="10" t="s">
        <v>491</v>
      </c>
      <c r="D25" s="3"/>
      <c r="E25" s="3">
        <v>4</v>
      </c>
      <c r="F25" s="3">
        <f t="shared" si="1"/>
        <v>115</v>
      </c>
      <c r="G25" s="3" t="s">
        <v>493</v>
      </c>
      <c r="H25" s="5" t="s">
        <v>55</v>
      </c>
    </row>
    <row r="26" spans="1:8" ht="21" x14ac:dyDescent="0.7">
      <c r="A26" s="2">
        <v>25</v>
      </c>
      <c r="B26" s="8" t="s">
        <v>23</v>
      </c>
      <c r="C26" s="10" t="s">
        <v>537</v>
      </c>
      <c r="D26" s="3"/>
      <c r="E26" s="3">
        <v>1</v>
      </c>
      <c r="F26" s="3">
        <f t="shared" ref="F26:F31" si="2">F25-E26</f>
        <v>114</v>
      </c>
      <c r="G26" s="3">
        <v>4236</v>
      </c>
      <c r="H26" s="5" t="s">
        <v>66</v>
      </c>
    </row>
    <row r="27" spans="1:8" ht="21" x14ac:dyDescent="0.7">
      <c r="A27" s="2">
        <v>26</v>
      </c>
      <c r="B27" s="8" t="s">
        <v>23</v>
      </c>
      <c r="C27" s="10" t="s">
        <v>557</v>
      </c>
      <c r="D27" s="3"/>
      <c r="E27" s="3">
        <v>1</v>
      </c>
      <c r="F27" s="3">
        <f t="shared" si="2"/>
        <v>113</v>
      </c>
      <c r="G27" s="3" t="s">
        <v>559</v>
      </c>
      <c r="H27" s="5" t="s">
        <v>55</v>
      </c>
    </row>
    <row r="28" spans="1:8" ht="21" x14ac:dyDescent="0.7">
      <c r="A28" s="2">
        <v>27</v>
      </c>
      <c r="B28" s="8" t="s">
        <v>23</v>
      </c>
      <c r="C28" s="10" t="s">
        <v>560</v>
      </c>
      <c r="D28" s="3"/>
      <c r="E28" s="3">
        <v>25</v>
      </c>
      <c r="F28" s="3">
        <f t="shared" si="2"/>
        <v>88</v>
      </c>
      <c r="G28" s="3">
        <v>4277</v>
      </c>
      <c r="H28" s="5" t="s">
        <v>257</v>
      </c>
    </row>
    <row r="29" spans="1:8" ht="21" x14ac:dyDescent="0.7">
      <c r="A29" s="2">
        <v>28</v>
      </c>
      <c r="B29" s="8" t="s">
        <v>23</v>
      </c>
      <c r="C29" s="10" t="s">
        <v>587</v>
      </c>
      <c r="D29" s="3"/>
      <c r="E29" s="3">
        <v>1</v>
      </c>
      <c r="F29" s="3">
        <f t="shared" si="2"/>
        <v>87</v>
      </c>
      <c r="G29" s="3" t="s">
        <v>588</v>
      </c>
      <c r="H29" s="5" t="s">
        <v>55</v>
      </c>
    </row>
    <row r="30" spans="1:8" ht="21" x14ac:dyDescent="0.7">
      <c r="A30" s="2">
        <v>29</v>
      </c>
      <c r="B30" s="8" t="s">
        <v>23</v>
      </c>
      <c r="C30" s="10" t="s">
        <v>644</v>
      </c>
      <c r="D30" s="3"/>
      <c r="E30" s="3">
        <v>4</v>
      </c>
      <c r="F30" s="3">
        <f t="shared" si="2"/>
        <v>83</v>
      </c>
      <c r="G30" s="3" t="s">
        <v>645</v>
      </c>
      <c r="H30" s="5" t="s">
        <v>55</v>
      </c>
    </row>
    <row r="31" spans="1:8" ht="21" x14ac:dyDescent="0.7">
      <c r="A31" s="2">
        <v>30</v>
      </c>
      <c r="B31" s="8" t="s">
        <v>23</v>
      </c>
      <c r="C31" s="10" t="s">
        <v>644</v>
      </c>
      <c r="D31" s="3"/>
      <c r="E31" s="3">
        <v>2</v>
      </c>
      <c r="F31" s="3">
        <f t="shared" si="2"/>
        <v>81</v>
      </c>
      <c r="G31" s="3" t="s">
        <v>647</v>
      </c>
      <c r="H31" s="5" t="s">
        <v>55</v>
      </c>
    </row>
    <row r="32" spans="1:8" ht="21" x14ac:dyDescent="0.7">
      <c r="A32" s="2">
        <v>31</v>
      </c>
      <c r="B32" s="8" t="s">
        <v>23</v>
      </c>
      <c r="C32" s="10" t="s">
        <v>649</v>
      </c>
      <c r="D32" s="3"/>
      <c r="E32" s="3">
        <v>2</v>
      </c>
      <c r="F32" s="3">
        <f t="shared" ref="F32:F37" si="3">F31-E32</f>
        <v>79</v>
      </c>
      <c r="G32" s="3" t="s">
        <v>650</v>
      </c>
      <c r="H32" s="5" t="s">
        <v>55</v>
      </c>
    </row>
    <row r="33" spans="1:8" ht="21" x14ac:dyDescent="0.7">
      <c r="A33" s="2">
        <v>32</v>
      </c>
      <c r="B33" s="8" t="s">
        <v>23</v>
      </c>
      <c r="C33" s="10" t="s">
        <v>665</v>
      </c>
      <c r="D33" s="3"/>
      <c r="E33" s="3">
        <v>1</v>
      </c>
      <c r="F33" s="3">
        <f t="shared" si="3"/>
        <v>78</v>
      </c>
      <c r="G33" s="3">
        <v>4401</v>
      </c>
      <c r="H33" s="5" t="s">
        <v>66</v>
      </c>
    </row>
    <row r="34" spans="1:8" ht="21" x14ac:dyDescent="0.7">
      <c r="A34" s="2">
        <v>33</v>
      </c>
      <c r="B34" s="8" t="s">
        <v>23</v>
      </c>
      <c r="C34" s="10" t="s">
        <v>711</v>
      </c>
      <c r="D34" s="3"/>
      <c r="E34" s="3">
        <v>4</v>
      </c>
      <c r="F34" s="3">
        <f t="shared" si="3"/>
        <v>74</v>
      </c>
      <c r="G34" s="3" t="s">
        <v>713</v>
      </c>
      <c r="H34" s="5" t="s">
        <v>55</v>
      </c>
    </row>
    <row r="35" spans="1:8" ht="21" x14ac:dyDescent="0.7">
      <c r="A35" s="2">
        <v>34</v>
      </c>
      <c r="B35" s="8" t="s">
        <v>23</v>
      </c>
      <c r="C35" s="10" t="s">
        <v>779</v>
      </c>
      <c r="D35" s="3"/>
      <c r="E35" s="3">
        <v>8</v>
      </c>
      <c r="F35" s="3">
        <f t="shared" si="3"/>
        <v>66</v>
      </c>
      <c r="G35" s="3">
        <v>4582</v>
      </c>
      <c r="H35" s="5" t="s">
        <v>257</v>
      </c>
    </row>
    <row r="36" spans="1:8" ht="21" x14ac:dyDescent="0.7">
      <c r="A36" s="2">
        <v>35</v>
      </c>
      <c r="B36" s="8" t="s">
        <v>23</v>
      </c>
      <c r="C36" s="10" t="s">
        <v>782</v>
      </c>
      <c r="D36" s="3"/>
      <c r="E36" s="3">
        <v>1</v>
      </c>
      <c r="F36" s="3">
        <f t="shared" si="3"/>
        <v>65</v>
      </c>
      <c r="G36" s="3" t="s">
        <v>783</v>
      </c>
      <c r="H36" s="5" t="s">
        <v>55</v>
      </c>
    </row>
    <row r="37" spans="1:8" ht="21" x14ac:dyDescent="0.7">
      <c r="A37" s="2">
        <v>36</v>
      </c>
      <c r="B37" s="8" t="s">
        <v>23</v>
      </c>
      <c r="C37" s="10" t="s">
        <v>795</v>
      </c>
      <c r="D37" s="3"/>
      <c r="E37" s="3">
        <v>2</v>
      </c>
      <c r="F37" s="3">
        <f t="shared" si="3"/>
        <v>63</v>
      </c>
      <c r="G37" s="3">
        <v>4597</v>
      </c>
      <c r="H37" s="5" t="s">
        <v>796</v>
      </c>
    </row>
    <row r="38" spans="1:8" ht="21" x14ac:dyDescent="0.7">
      <c r="A38" s="2">
        <v>37</v>
      </c>
      <c r="B38" s="8" t="s">
        <v>23</v>
      </c>
      <c r="C38" s="10" t="s">
        <v>797</v>
      </c>
      <c r="D38" s="3"/>
      <c r="E38" s="3">
        <v>3</v>
      </c>
      <c r="F38" s="3">
        <f t="shared" ref="F38:F43" si="4">F37-E38</f>
        <v>60</v>
      </c>
      <c r="G38" s="3" t="s">
        <v>798</v>
      </c>
      <c r="H38" s="5" t="s">
        <v>55</v>
      </c>
    </row>
    <row r="39" spans="1:8" ht="21" x14ac:dyDescent="0.7">
      <c r="A39" s="2">
        <v>38</v>
      </c>
      <c r="B39" s="8" t="s">
        <v>23</v>
      </c>
      <c r="C39" s="10" t="s">
        <v>822</v>
      </c>
      <c r="D39" s="3"/>
      <c r="E39" s="3">
        <v>1</v>
      </c>
      <c r="F39" s="3">
        <f t="shared" si="4"/>
        <v>59</v>
      </c>
      <c r="G39" s="3" t="s">
        <v>824</v>
      </c>
      <c r="H39" s="5" t="s">
        <v>436</v>
      </c>
    </row>
    <row r="40" spans="1:8" ht="21" x14ac:dyDescent="0.7">
      <c r="A40" s="2">
        <v>39</v>
      </c>
      <c r="B40" s="8" t="s">
        <v>23</v>
      </c>
      <c r="C40" s="10" t="s">
        <v>867</v>
      </c>
      <c r="D40" s="3"/>
      <c r="E40" s="3">
        <v>5</v>
      </c>
      <c r="F40" s="3">
        <f t="shared" si="4"/>
        <v>54</v>
      </c>
      <c r="G40" s="3">
        <v>4689</v>
      </c>
      <c r="H40" s="5" t="s">
        <v>873</v>
      </c>
    </row>
    <row r="41" spans="1:8" ht="21" x14ac:dyDescent="0.7">
      <c r="A41" s="2">
        <v>40</v>
      </c>
      <c r="B41" s="8" t="s">
        <v>23</v>
      </c>
      <c r="C41" s="10" t="s">
        <v>911</v>
      </c>
      <c r="D41" s="3"/>
      <c r="E41" s="3">
        <v>1</v>
      </c>
      <c r="F41" s="3">
        <f t="shared" si="4"/>
        <v>53</v>
      </c>
      <c r="G41" s="3">
        <v>4734</v>
      </c>
      <c r="H41" s="5" t="s">
        <v>614</v>
      </c>
    </row>
    <row r="42" spans="1:8" ht="21" x14ac:dyDescent="0.7">
      <c r="A42" s="2">
        <v>41</v>
      </c>
      <c r="B42" s="8" t="s">
        <v>23</v>
      </c>
      <c r="C42" s="10" t="s">
        <v>913</v>
      </c>
      <c r="D42" s="3"/>
      <c r="E42" s="3">
        <v>1</v>
      </c>
      <c r="F42" s="3">
        <f t="shared" si="4"/>
        <v>52</v>
      </c>
      <c r="G42" s="3">
        <v>4736</v>
      </c>
      <c r="H42" s="5" t="s">
        <v>614</v>
      </c>
    </row>
    <row r="43" spans="1:8" ht="21" x14ac:dyDescent="0.7">
      <c r="A43" s="2">
        <v>42</v>
      </c>
      <c r="B43" s="8" t="s">
        <v>23</v>
      </c>
      <c r="C43" s="10" t="s">
        <v>973</v>
      </c>
      <c r="D43" s="3"/>
      <c r="E43" s="3">
        <v>6</v>
      </c>
      <c r="F43" s="3">
        <f t="shared" si="4"/>
        <v>46</v>
      </c>
      <c r="G43" s="3">
        <v>4814</v>
      </c>
      <c r="H43" s="5" t="s">
        <v>974</v>
      </c>
    </row>
    <row r="44" spans="1:8" ht="21" x14ac:dyDescent="0.7">
      <c r="A44" s="2">
        <v>43</v>
      </c>
      <c r="B44" s="8" t="s">
        <v>23</v>
      </c>
      <c r="C44" s="10" t="s">
        <v>1078</v>
      </c>
      <c r="D44" s="3"/>
      <c r="E44" s="3">
        <v>2</v>
      </c>
      <c r="F44" s="3">
        <f t="shared" ref="F44:F49" si="5">F43-E44</f>
        <v>44</v>
      </c>
      <c r="G44" s="3" t="s">
        <v>1079</v>
      </c>
      <c r="H44" s="5" t="s">
        <v>436</v>
      </c>
    </row>
    <row r="45" spans="1:8" ht="21" x14ac:dyDescent="0.7">
      <c r="A45" s="2">
        <v>44</v>
      </c>
      <c r="B45" s="8" t="s">
        <v>23</v>
      </c>
      <c r="C45" s="10" t="s">
        <v>1093</v>
      </c>
      <c r="D45" s="3"/>
      <c r="E45" s="3">
        <v>15</v>
      </c>
      <c r="F45" s="3">
        <f t="shared" si="5"/>
        <v>29</v>
      </c>
      <c r="G45" s="3">
        <v>5025</v>
      </c>
      <c r="H45" s="5" t="s">
        <v>257</v>
      </c>
    </row>
    <row r="46" spans="1:8" ht="21" x14ac:dyDescent="0.7">
      <c r="A46" s="2">
        <v>45</v>
      </c>
      <c r="B46" s="8" t="s">
        <v>23</v>
      </c>
      <c r="C46" s="10" t="s">
        <v>1093</v>
      </c>
      <c r="D46" s="3"/>
      <c r="E46" s="3">
        <v>1</v>
      </c>
      <c r="F46" s="3">
        <f t="shared" si="5"/>
        <v>28</v>
      </c>
      <c r="G46" s="3">
        <v>5026</v>
      </c>
      <c r="H46" s="5" t="s">
        <v>257</v>
      </c>
    </row>
    <row r="47" spans="1:8" ht="21" x14ac:dyDescent="0.7">
      <c r="A47" s="2">
        <v>46</v>
      </c>
      <c r="B47" s="8" t="s">
        <v>23</v>
      </c>
      <c r="C47" s="10" t="s">
        <v>1119</v>
      </c>
      <c r="D47" s="3"/>
      <c r="E47" s="3">
        <v>2</v>
      </c>
      <c r="F47" s="3">
        <f t="shared" si="5"/>
        <v>26</v>
      </c>
      <c r="G47" s="3">
        <v>5079</v>
      </c>
      <c r="H47" s="5" t="s">
        <v>1120</v>
      </c>
    </row>
    <row r="48" spans="1:8" ht="21" x14ac:dyDescent="0.7">
      <c r="A48" s="2">
        <v>47</v>
      </c>
      <c r="B48" s="8" t="s">
        <v>23</v>
      </c>
      <c r="C48" s="10" t="s">
        <v>1144</v>
      </c>
      <c r="D48" s="3"/>
      <c r="E48" s="3">
        <v>2</v>
      </c>
      <c r="F48" s="3">
        <f t="shared" si="5"/>
        <v>24</v>
      </c>
      <c r="G48" s="3" t="s">
        <v>1145</v>
      </c>
      <c r="H48" s="5" t="s">
        <v>436</v>
      </c>
    </row>
    <row r="49" spans="1:8" ht="21" x14ac:dyDescent="0.7">
      <c r="A49" s="2">
        <v>48</v>
      </c>
      <c r="B49" s="8" t="s">
        <v>23</v>
      </c>
      <c r="C49" s="10" t="s">
        <v>1146</v>
      </c>
      <c r="D49" s="3"/>
      <c r="E49" s="3">
        <v>3</v>
      </c>
      <c r="F49" s="3">
        <f t="shared" si="5"/>
        <v>21</v>
      </c>
      <c r="G49" s="3">
        <v>5101</v>
      </c>
      <c r="H49" s="5" t="s">
        <v>66</v>
      </c>
    </row>
    <row r="50" spans="1:8" ht="21" x14ac:dyDescent="0.7">
      <c r="A50" s="2">
        <v>49</v>
      </c>
      <c r="B50" s="8" t="s">
        <v>23</v>
      </c>
      <c r="C50" s="10" t="s">
        <v>1151</v>
      </c>
      <c r="D50" s="3"/>
      <c r="E50" s="3">
        <v>2</v>
      </c>
      <c r="F50" s="3">
        <f t="shared" ref="F50:F55" si="6">F49-E50</f>
        <v>19</v>
      </c>
      <c r="G50" s="3">
        <v>5109</v>
      </c>
      <c r="H50" s="5" t="s">
        <v>94</v>
      </c>
    </row>
    <row r="51" spans="1:8" ht="21" x14ac:dyDescent="0.7">
      <c r="A51" s="2">
        <v>50</v>
      </c>
      <c r="B51" s="8" t="s">
        <v>23</v>
      </c>
      <c r="C51" s="10" t="s">
        <v>1190</v>
      </c>
      <c r="D51" s="3"/>
      <c r="E51" s="3">
        <v>8</v>
      </c>
      <c r="F51" s="3">
        <f t="shared" si="6"/>
        <v>11</v>
      </c>
      <c r="G51" s="3">
        <v>5156</v>
      </c>
      <c r="H51" s="5" t="s">
        <v>791</v>
      </c>
    </row>
    <row r="52" spans="1:8" ht="21" x14ac:dyDescent="0.7">
      <c r="A52" s="2">
        <v>51</v>
      </c>
      <c r="B52" s="8" t="s">
        <v>23</v>
      </c>
      <c r="C52" s="10" t="s">
        <v>1252</v>
      </c>
      <c r="D52" s="3"/>
      <c r="E52" s="3">
        <v>2</v>
      </c>
      <c r="F52" s="3">
        <f t="shared" si="6"/>
        <v>9</v>
      </c>
      <c r="G52" s="3" t="s">
        <v>1253</v>
      </c>
      <c r="H52" s="5" t="s">
        <v>436</v>
      </c>
    </row>
    <row r="53" spans="1:8" ht="21" x14ac:dyDescent="0.7">
      <c r="A53" s="2">
        <v>52</v>
      </c>
      <c r="B53" s="8" t="s">
        <v>23</v>
      </c>
      <c r="C53" s="10" t="s">
        <v>1278</v>
      </c>
      <c r="D53" s="3"/>
      <c r="E53" s="3">
        <v>1</v>
      </c>
      <c r="F53" s="3">
        <f t="shared" si="6"/>
        <v>8</v>
      </c>
      <c r="G53" s="3">
        <v>5287</v>
      </c>
      <c r="H53" s="5" t="s">
        <v>614</v>
      </c>
    </row>
    <row r="54" spans="1:8" ht="21" x14ac:dyDescent="0.7">
      <c r="A54" s="2">
        <v>53</v>
      </c>
      <c r="B54" s="8" t="s">
        <v>23</v>
      </c>
      <c r="C54" s="10" t="s">
        <v>1324</v>
      </c>
      <c r="D54" s="3"/>
      <c r="E54" s="3">
        <v>2</v>
      </c>
      <c r="F54" s="3">
        <f t="shared" si="6"/>
        <v>6</v>
      </c>
      <c r="G54" s="3">
        <v>5328</v>
      </c>
      <c r="H54" s="5" t="s">
        <v>1326</v>
      </c>
    </row>
    <row r="55" spans="1:8" ht="21" x14ac:dyDescent="0.7">
      <c r="A55" s="2">
        <v>54</v>
      </c>
      <c r="B55" s="8" t="s">
        <v>23</v>
      </c>
      <c r="C55" s="10" t="s">
        <v>1359</v>
      </c>
      <c r="D55" s="3"/>
      <c r="E55" s="3">
        <v>1</v>
      </c>
      <c r="F55" s="3">
        <f t="shared" si="6"/>
        <v>5</v>
      </c>
      <c r="G55" s="3" t="s">
        <v>1361</v>
      </c>
      <c r="H55" s="5" t="s">
        <v>55</v>
      </c>
    </row>
    <row r="56" spans="1:8" ht="21" x14ac:dyDescent="0.7">
      <c r="A56" s="2">
        <v>55</v>
      </c>
      <c r="B56" s="8" t="s">
        <v>23</v>
      </c>
      <c r="C56" s="10" t="s">
        <v>1363</v>
      </c>
      <c r="D56" s="3"/>
      <c r="E56" s="3">
        <v>1</v>
      </c>
      <c r="F56" s="3">
        <f>F55-E56</f>
        <v>4</v>
      </c>
      <c r="G56" s="3" t="s">
        <v>1364</v>
      </c>
      <c r="H56" s="5" t="s">
        <v>55</v>
      </c>
    </row>
    <row r="57" spans="1:8" ht="21" x14ac:dyDescent="0.7">
      <c r="A57" s="2">
        <v>56</v>
      </c>
      <c r="B57" s="8" t="s">
        <v>23</v>
      </c>
      <c r="C57" s="10" t="s">
        <v>1365</v>
      </c>
      <c r="D57" s="3"/>
      <c r="E57" s="3">
        <v>1</v>
      </c>
      <c r="F57" s="3">
        <f>F56-E57</f>
        <v>3</v>
      </c>
      <c r="G57" s="3" t="s">
        <v>1366</v>
      </c>
      <c r="H57" s="5" t="s">
        <v>55</v>
      </c>
    </row>
    <row r="58" spans="1:8" ht="21" x14ac:dyDescent="0.7">
      <c r="A58" s="2">
        <v>57</v>
      </c>
      <c r="B58" s="8" t="s">
        <v>23</v>
      </c>
      <c r="C58" s="10" t="s">
        <v>1365</v>
      </c>
      <c r="D58" s="3"/>
      <c r="E58" s="3">
        <v>2</v>
      </c>
      <c r="F58" s="3">
        <f>F57-E58</f>
        <v>1</v>
      </c>
      <c r="G58" s="3">
        <v>5376</v>
      </c>
      <c r="H58" s="5" t="s">
        <v>66</v>
      </c>
    </row>
    <row r="59" spans="1:8" ht="21" x14ac:dyDescent="0.7">
      <c r="A59" s="2">
        <v>58</v>
      </c>
      <c r="B59" s="8" t="s">
        <v>23</v>
      </c>
      <c r="C59" s="10" t="s">
        <v>1372</v>
      </c>
      <c r="D59" s="3">
        <v>40</v>
      </c>
      <c r="E59" s="3"/>
      <c r="F59" s="3">
        <v>41</v>
      </c>
      <c r="G59" s="3"/>
      <c r="H59" s="19" t="s">
        <v>1371</v>
      </c>
    </row>
    <row r="60" spans="1:8" ht="21" x14ac:dyDescent="0.7">
      <c r="A60" s="2">
        <v>59</v>
      </c>
      <c r="B60" s="8" t="s">
        <v>23</v>
      </c>
      <c r="C60" s="10" t="s">
        <v>1382</v>
      </c>
      <c r="D60" s="3"/>
      <c r="E60" s="3">
        <v>1</v>
      </c>
      <c r="F60" s="3">
        <f t="shared" ref="F60:F65" si="7">F59-E60</f>
        <v>40</v>
      </c>
      <c r="G60" s="3" t="s">
        <v>1384</v>
      </c>
      <c r="H60" s="5" t="s">
        <v>436</v>
      </c>
    </row>
    <row r="61" spans="1:8" ht="21" x14ac:dyDescent="0.7">
      <c r="A61" s="2">
        <v>60</v>
      </c>
      <c r="B61" s="8" t="s">
        <v>23</v>
      </c>
      <c r="C61" s="10" t="s">
        <v>1467</v>
      </c>
      <c r="D61" s="3"/>
      <c r="E61" s="3">
        <v>1</v>
      </c>
      <c r="F61" s="3">
        <f t="shared" si="7"/>
        <v>39</v>
      </c>
      <c r="G61" s="3" t="s">
        <v>1468</v>
      </c>
      <c r="H61" s="5" t="s">
        <v>55</v>
      </c>
    </row>
    <row r="62" spans="1:8" ht="21" x14ac:dyDescent="0.7">
      <c r="A62" s="2">
        <v>61</v>
      </c>
      <c r="B62" s="8" t="s">
        <v>23</v>
      </c>
      <c r="C62" s="10" t="s">
        <v>1526</v>
      </c>
      <c r="D62" s="3"/>
      <c r="E62" s="3">
        <v>2</v>
      </c>
      <c r="F62" s="3">
        <f t="shared" si="7"/>
        <v>37</v>
      </c>
      <c r="G62" s="3">
        <v>5554</v>
      </c>
      <c r="H62" s="5" t="s">
        <v>614</v>
      </c>
    </row>
    <row r="63" spans="1:8" ht="21" x14ac:dyDescent="0.7">
      <c r="A63" s="2">
        <v>62</v>
      </c>
      <c r="B63" s="8" t="s">
        <v>23</v>
      </c>
      <c r="C63" s="10" t="s">
        <v>1554</v>
      </c>
      <c r="D63" s="3"/>
      <c r="E63" s="3">
        <v>2</v>
      </c>
      <c r="F63" s="3">
        <f t="shared" si="7"/>
        <v>35</v>
      </c>
      <c r="G63" s="3">
        <v>5590</v>
      </c>
      <c r="H63" s="5" t="s">
        <v>66</v>
      </c>
    </row>
    <row r="64" spans="1:8" ht="21" x14ac:dyDescent="0.7">
      <c r="A64" s="2">
        <v>63</v>
      </c>
      <c r="B64" s="8" t="s">
        <v>23</v>
      </c>
      <c r="C64" s="10" t="s">
        <v>1565</v>
      </c>
      <c r="D64" s="3"/>
      <c r="E64" s="3">
        <v>4</v>
      </c>
      <c r="F64" s="3">
        <f t="shared" si="7"/>
        <v>31</v>
      </c>
      <c r="G64" s="3" t="s">
        <v>1566</v>
      </c>
      <c r="H64" s="5" t="s">
        <v>55</v>
      </c>
    </row>
    <row r="65" spans="1:8" ht="21" x14ac:dyDescent="0.7">
      <c r="A65" s="2">
        <v>64</v>
      </c>
      <c r="B65" s="8" t="s">
        <v>23</v>
      </c>
      <c r="C65" s="10" t="s">
        <v>1583</v>
      </c>
      <c r="D65" s="3"/>
      <c r="E65" s="3">
        <v>2</v>
      </c>
      <c r="F65" s="3">
        <f t="shared" si="7"/>
        <v>29</v>
      </c>
      <c r="G65" s="3" t="s">
        <v>1584</v>
      </c>
      <c r="H65" s="5" t="s">
        <v>55</v>
      </c>
    </row>
    <row r="66" spans="1:8" ht="21" x14ac:dyDescent="0.7">
      <c r="A66" s="2">
        <v>65</v>
      </c>
      <c r="B66" s="8" t="s">
        <v>23</v>
      </c>
      <c r="C66" s="10" t="s">
        <v>1588</v>
      </c>
      <c r="D66" s="3"/>
      <c r="E66" s="3">
        <v>1</v>
      </c>
      <c r="F66" s="3">
        <f t="shared" ref="F66:F71" si="8">F65-E66</f>
        <v>28</v>
      </c>
      <c r="G66" s="3">
        <v>5668</v>
      </c>
      <c r="H66" s="5" t="s">
        <v>1591</v>
      </c>
    </row>
    <row r="67" spans="1:8" ht="21" x14ac:dyDescent="0.7">
      <c r="A67" s="2">
        <v>66</v>
      </c>
      <c r="B67" s="8" t="s">
        <v>23</v>
      </c>
      <c r="C67" s="10" t="s">
        <v>1666</v>
      </c>
      <c r="D67" s="3"/>
      <c r="E67" s="3">
        <v>1</v>
      </c>
      <c r="F67" s="3">
        <f t="shared" si="8"/>
        <v>27</v>
      </c>
      <c r="G67" s="3" t="s">
        <v>1667</v>
      </c>
      <c r="H67" s="5" t="s">
        <v>55</v>
      </c>
    </row>
    <row r="68" spans="1:8" ht="21" x14ac:dyDescent="0.7">
      <c r="A68" s="2">
        <v>67</v>
      </c>
      <c r="B68" s="8" t="s">
        <v>23</v>
      </c>
      <c r="C68" s="10" t="s">
        <v>1676</v>
      </c>
      <c r="D68" s="3"/>
      <c r="E68" s="3">
        <v>1</v>
      </c>
      <c r="F68" s="3">
        <f t="shared" si="8"/>
        <v>26</v>
      </c>
      <c r="G68" s="3">
        <v>5779</v>
      </c>
      <c r="H68" s="5" t="s">
        <v>1677</v>
      </c>
    </row>
    <row r="69" spans="1:8" ht="21" x14ac:dyDescent="0.7">
      <c r="A69" s="2">
        <v>68</v>
      </c>
      <c r="B69" s="8" t="s">
        <v>23</v>
      </c>
      <c r="C69" s="10" t="s">
        <v>1684</v>
      </c>
      <c r="D69" s="3"/>
      <c r="E69" s="3">
        <v>3</v>
      </c>
      <c r="F69" s="3">
        <f t="shared" si="8"/>
        <v>23</v>
      </c>
      <c r="G69" s="3">
        <v>5805</v>
      </c>
      <c r="H69" s="5" t="s">
        <v>1686</v>
      </c>
    </row>
    <row r="70" spans="1:8" ht="21" x14ac:dyDescent="0.7">
      <c r="A70" s="2">
        <v>69</v>
      </c>
      <c r="B70" s="8" t="s">
        <v>23</v>
      </c>
      <c r="C70" s="10" t="s">
        <v>1714</v>
      </c>
      <c r="D70" s="3"/>
      <c r="E70" s="3">
        <v>2</v>
      </c>
      <c r="F70" s="3">
        <f t="shared" si="8"/>
        <v>21</v>
      </c>
      <c r="G70" s="3">
        <v>5860</v>
      </c>
      <c r="H70" s="5" t="s">
        <v>1700</v>
      </c>
    </row>
    <row r="71" spans="1:8" ht="21" x14ac:dyDescent="0.7">
      <c r="A71" s="2">
        <v>70</v>
      </c>
      <c r="B71" s="8" t="s">
        <v>23</v>
      </c>
      <c r="C71" s="10" t="s">
        <v>1775</v>
      </c>
      <c r="D71" s="3"/>
      <c r="E71" s="3">
        <v>6</v>
      </c>
      <c r="F71" s="3">
        <f t="shared" si="8"/>
        <v>15</v>
      </c>
      <c r="G71" s="3">
        <v>5977</v>
      </c>
      <c r="H71" s="5" t="s">
        <v>1545</v>
      </c>
    </row>
    <row r="72" spans="1:8" ht="21" x14ac:dyDescent="0.7">
      <c r="A72" s="2">
        <v>71</v>
      </c>
      <c r="B72" s="8" t="s">
        <v>23</v>
      </c>
      <c r="C72" s="10" t="s">
        <v>1827</v>
      </c>
      <c r="D72" s="3"/>
      <c r="E72" s="3">
        <v>1</v>
      </c>
      <c r="F72" s="3">
        <f>F71-E72</f>
        <v>14</v>
      </c>
      <c r="G72" s="3" t="s">
        <v>1828</v>
      </c>
      <c r="H72" s="5" t="s">
        <v>55</v>
      </c>
    </row>
    <row r="73" spans="1:8" ht="21" x14ac:dyDescent="0.7">
      <c r="A73" s="2">
        <v>72</v>
      </c>
      <c r="B73" s="8" t="s">
        <v>23</v>
      </c>
      <c r="C73" s="10" t="s">
        <v>1888</v>
      </c>
      <c r="D73" s="3"/>
      <c r="E73" s="3">
        <v>2</v>
      </c>
      <c r="F73" s="3">
        <f>F72-E73</f>
        <v>12</v>
      </c>
      <c r="G73" s="3">
        <v>6121</v>
      </c>
      <c r="H73" s="5" t="s">
        <v>66</v>
      </c>
    </row>
    <row r="74" spans="1:8" ht="21" x14ac:dyDescent="0.7">
      <c r="A74" s="2">
        <v>73</v>
      </c>
      <c r="B74" s="8" t="s">
        <v>23</v>
      </c>
      <c r="C74" s="10" t="s">
        <v>1915</v>
      </c>
      <c r="D74" s="3"/>
      <c r="E74" s="3">
        <v>1</v>
      </c>
      <c r="F74" s="3">
        <f>F73-E74</f>
        <v>11</v>
      </c>
      <c r="G74" s="3">
        <v>6202</v>
      </c>
      <c r="H74" s="5" t="s">
        <v>1916</v>
      </c>
    </row>
    <row r="75" spans="1:8" ht="21" x14ac:dyDescent="0.7">
      <c r="A75" s="2">
        <v>74</v>
      </c>
      <c r="B75" s="8" t="s">
        <v>23</v>
      </c>
      <c r="C75" s="10" t="s">
        <v>1915</v>
      </c>
      <c r="D75" s="3"/>
      <c r="E75" s="3">
        <v>2</v>
      </c>
      <c r="F75" s="3">
        <f>F74-E75</f>
        <v>9</v>
      </c>
      <c r="G75" s="3">
        <v>6203</v>
      </c>
      <c r="H75" s="5" t="s">
        <v>614</v>
      </c>
    </row>
    <row r="76" spans="1:8" ht="21" x14ac:dyDescent="0.7">
      <c r="A76" s="2">
        <v>75</v>
      </c>
      <c r="B76" s="8" t="s">
        <v>23</v>
      </c>
      <c r="C76" s="10" t="s">
        <v>1930</v>
      </c>
      <c r="D76" s="3"/>
      <c r="E76" s="3">
        <v>9</v>
      </c>
      <c r="F76" s="3">
        <f>F75-E76</f>
        <v>0</v>
      </c>
      <c r="G76" s="3">
        <v>6227</v>
      </c>
      <c r="H76" s="5" t="s">
        <v>1545</v>
      </c>
    </row>
    <row r="77" spans="1:8" ht="21" x14ac:dyDescent="0.7">
      <c r="A77" s="2">
        <v>76</v>
      </c>
      <c r="B77" s="8" t="s">
        <v>23</v>
      </c>
      <c r="C77" s="10" t="s">
        <v>2080</v>
      </c>
      <c r="D77" s="3">
        <v>48</v>
      </c>
      <c r="E77" s="3"/>
      <c r="F77" s="3">
        <v>48</v>
      </c>
      <c r="G77" s="3"/>
      <c r="H77" s="19" t="s">
        <v>2081</v>
      </c>
    </row>
    <row r="78" spans="1:8" ht="21" x14ac:dyDescent="0.7">
      <c r="A78" s="2">
        <v>77</v>
      </c>
      <c r="B78" s="8" t="s">
        <v>23</v>
      </c>
      <c r="C78" s="10" t="s">
        <v>2104</v>
      </c>
      <c r="D78" s="3"/>
      <c r="E78" s="3">
        <v>10</v>
      </c>
      <c r="F78" s="3">
        <f>F77-E78</f>
        <v>38</v>
      </c>
      <c r="G78" s="3" t="s">
        <v>2105</v>
      </c>
      <c r="H78" s="5" t="s">
        <v>436</v>
      </c>
    </row>
    <row r="79" spans="1:8" ht="21" x14ac:dyDescent="0.7">
      <c r="A79" s="2">
        <v>78</v>
      </c>
      <c r="B79" s="8" t="s">
        <v>23</v>
      </c>
      <c r="C79" s="10" t="s">
        <v>2136</v>
      </c>
      <c r="D79" s="3"/>
      <c r="E79" s="3">
        <v>1</v>
      </c>
      <c r="F79" s="3">
        <f>F78-E79</f>
        <v>37</v>
      </c>
      <c r="G79" s="3" t="s">
        <v>2137</v>
      </c>
      <c r="H79" s="5" t="s">
        <v>55</v>
      </c>
    </row>
    <row r="80" spans="1:8" ht="21" x14ac:dyDescent="0.7">
      <c r="A80" s="2">
        <v>79</v>
      </c>
      <c r="B80" s="8" t="s">
        <v>23</v>
      </c>
      <c r="C80" s="10" t="s">
        <v>2153</v>
      </c>
      <c r="D80" s="3"/>
      <c r="E80" s="3">
        <v>20</v>
      </c>
      <c r="F80" s="3">
        <f>F79-E80</f>
        <v>17</v>
      </c>
      <c r="G80" s="3">
        <v>6450</v>
      </c>
      <c r="H80" s="5" t="s">
        <v>1545</v>
      </c>
    </row>
    <row r="81" spans="1:8" ht="21" x14ac:dyDescent="0.7">
      <c r="A81" s="2">
        <v>80</v>
      </c>
      <c r="B81" s="8" t="s">
        <v>23</v>
      </c>
      <c r="C81" s="10" t="s">
        <v>2160</v>
      </c>
      <c r="D81" s="3"/>
      <c r="E81" s="3">
        <v>16</v>
      </c>
      <c r="F81" s="3">
        <f>F80-E81</f>
        <v>1</v>
      </c>
      <c r="G81" s="3">
        <v>6457</v>
      </c>
      <c r="H81" s="5" t="s">
        <v>2161</v>
      </c>
    </row>
    <row r="82" spans="1:8" ht="21" x14ac:dyDescent="0.7">
      <c r="A82" s="2">
        <v>81</v>
      </c>
      <c r="B82" s="8" t="s">
        <v>23</v>
      </c>
      <c r="C82" s="10" t="s">
        <v>2323</v>
      </c>
      <c r="D82" s="3"/>
      <c r="E82" s="3">
        <v>1</v>
      </c>
      <c r="F82" s="3">
        <v>0</v>
      </c>
      <c r="G82" s="3">
        <v>6758</v>
      </c>
      <c r="H82" s="5" t="s">
        <v>639</v>
      </c>
    </row>
    <row r="83" spans="1:8" ht="21" customHeight="1" x14ac:dyDescent="0.3">
      <c r="A83" s="2">
        <v>82</v>
      </c>
      <c r="B83" s="8" t="s">
        <v>23</v>
      </c>
      <c r="C83" s="10" t="s">
        <v>2376</v>
      </c>
      <c r="D83" s="3">
        <v>56</v>
      </c>
      <c r="E83" s="3"/>
      <c r="F83" s="3">
        <v>56</v>
      </c>
      <c r="G83" s="44" t="s">
        <v>2377</v>
      </c>
      <c r="H83" s="45"/>
    </row>
    <row r="84" spans="1:8" ht="21" x14ac:dyDescent="0.7">
      <c r="A84" s="2">
        <v>83</v>
      </c>
      <c r="B84" s="8" t="s">
        <v>23</v>
      </c>
      <c r="C84" s="10" t="s">
        <v>2382</v>
      </c>
      <c r="D84" s="3"/>
      <c r="E84" s="3">
        <v>1</v>
      </c>
      <c r="F84" s="3">
        <f>F83-E84</f>
        <v>55</v>
      </c>
      <c r="G84" s="3" t="s">
        <v>2383</v>
      </c>
      <c r="H84" s="5" t="s">
        <v>55</v>
      </c>
    </row>
    <row r="85" spans="1:8" ht="21" x14ac:dyDescent="0.7">
      <c r="A85" s="2">
        <v>84</v>
      </c>
      <c r="B85" s="8" t="s">
        <v>23</v>
      </c>
      <c r="C85" s="10" t="s">
        <v>2455</v>
      </c>
      <c r="D85" s="3"/>
      <c r="E85" s="3">
        <v>2</v>
      </c>
      <c r="F85" s="3">
        <f>F84-E85</f>
        <v>53</v>
      </c>
      <c r="G85" s="3">
        <v>6966</v>
      </c>
      <c r="H85" s="5" t="s">
        <v>614</v>
      </c>
    </row>
    <row r="86" spans="1:8" ht="21" x14ac:dyDescent="0.7">
      <c r="A86" s="2">
        <v>85</v>
      </c>
      <c r="B86" s="8" t="s">
        <v>23</v>
      </c>
      <c r="C86" s="10" t="s">
        <v>2460</v>
      </c>
      <c r="D86" s="3"/>
      <c r="E86" s="3">
        <v>40</v>
      </c>
      <c r="F86" s="3">
        <f>F85-E86</f>
        <v>13</v>
      </c>
      <c r="G86" s="3">
        <v>6985</v>
      </c>
      <c r="H86" s="5" t="s">
        <v>1545</v>
      </c>
    </row>
    <row r="87" spans="1:8" ht="21" x14ac:dyDescent="0.7">
      <c r="A87" s="2">
        <v>86</v>
      </c>
      <c r="B87" s="8" t="s">
        <v>23</v>
      </c>
      <c r="C87" s="10" t="s">
        <v>2511</v>
      </c>
      <c r="D87" s="3"/>
      <c r="E87" s="3">
        <v>10</v>
      </c>
      <c r="F87" s="3">
        <f>F86-E87</f>
        <v>3</v>
      </c>
      <c r="G87" s="3">
        <v>7074</v>
      </c>
      <c r="H87" s="5" t="s">
        <v>2308</v>
      </c>
    </row>
    <row r="88" spans="1:8" ht="21" x14ac:dyDescent="0.7">
      <c r="A88" s="2">
        <v>87</v>
      </c>
      <c r="B88" s="8" t="s">
        <v>23</v>
      </c>
      <c r="C88" s="10" t="s">
        <v>2522</v>
      </c>
      <c r="D88" s="3"/>
      <c r="E88" s="3">
        <v>1</v>
      </c>
      <c r="F88" s="3">
        <f>F87-E88</f>
        <v>2</v>
      </c>
      <c r="G88" s="3">
        <v>7097</v>
      </c>
      <c r="H88" s="5" t="s">
        <v>1677</v>
      </c>
    </row>
    <row r="89" spans="1:8" ht="21" customHeight="1" x14ac:dyDescent="0.3">
      <c r="A89" s="2">
        <v>88</v>
      </c>
      <c r="B89" s="8" t="s">
        <v>23</v>
      </c>
      <c r="C89" s="10" t="s">
        <v>2529</v>
      </c>
      <c r="D89" s="3">
        <v>40</v>
      </c>
      <c r="E89" s="3"/>
      <c r="F89" s="3">
        <f>F88+D89</f>
        <v>42</v>
      </c>
      <c r="G89" s="44" t="s">
        <v>2532</v>
      </c>
      <c r="H89" s="45"/>
    </row>
    <row r="90" spans="1:8" ht="21" customHeight="1" x14ac:dyDescent="0.3">
      <c r="A90" s="2">
        <v>89</v>
      </c>
      <c r="B90" s="8" t="s">
        <v>23</v>
      </c>
      <c r="C90" s="10" t="s">
        <v>2556</v>
      </c>
      <c r="D90" s="3">
        <v>16</v>
      </c>
      <c r="E90" s="3"/>
      <c r="F90" s="3">
        <f>F89+D90</f>
        <v>58</v>
      </c>
      <c r="G90" s="44" t="s">
        <v>2555</v>
      </c>
      <c r="H90" s="45"/>
    </row>
    <row r="91" spans="1:8" ht="21" x14ac:dyDescent="0.7">
      <c r="A91" s="2">
        <v>90</v>
      </c>
      <c r="B91" s="8" t="s">
        <v>23</v>
      </c>
      <c r="C91" s="10" t="s">
        <v>2568</v>
      </c>
      <c r="D91" s="3"/>
      <c r="E91" s="3">
        <v>1</v>
      </c>
      <c r="F91" s="3">
        <f>F90-E91</f>
        <v>57</v>
      </c>
      <c r="G91" s="3">
        <v>7190</v>
      </c>
      <c r="H91" s="5" t="s">
        <v>2570</v>
      </c>
    </row>
    <row r="92" spans="1:8" ht="21" x14ac:dyDescent="0.7">
      <c r="A92" s="2">
        <v>91</v>
      </c>
      <c r="B92" s="8" t="s">
        <v>23</v>
      </c>
      <c r="C92" s="10" t="s">
        <v>2580</v>
      </c>
      <c r="D92" s="3"/>
      <c r="E92" s="3">
        <v>50</v>
      </c>
      <c r="F92" s="3">
        <f>F91-E92</f>
        <v>7</v>
      </c>
      <c r="G92" s="3">
        <v>7209</v>
      </c>
      <c r="H92" s="5" t="s">
        <v>1545</v>
      </c>
    </row>
    <row r="93" spans="1:8" ht="21" x14ac:dyDescent="0.7">
      <c r="A93" s="2">
        <v>92</v>
      </c>
      <c r="B93" s="8" t="s">
        <v>23</v>
      </c>
      <c r="C93" s="10" t="s">
        <v>2613</v>
      </c>
      <c r="D93" s="3"/>
      <c r="E93" s="3">
        <v>2</v>
      </c>
      <c r="F93" s="3">
        <f>F92-E93</f>
        <v>5</v>
      </c>
      <c r="G93" s="3">
        <v>7252</v>
      </c>
      <c r="H93" s="5" t="s">
        <v>66</v>
      </c>
    </row>
    <row r="94" spans="1:8" ht="19.8" customHeight="1" x14ac:dyDescent="0.3">
      <c r="A94" s="2">
        <v>93</v>
      </c>
      <c r="B94" s="8" t="s">
        <v>23</v>
      </c>
      <c r="C94" s="10"/>
      <c r="D94" s="3"/>
      <c r="E94" s="3">
        <v>1</v>
      </c>
      <c r="F94" s="3">
        <f>F93-E94</f>
        <v>4</v>
      </c>
      <c r="G94" s="3"/>
      <c r="H94" t="s">
        <v>2612</v>
      </c>
    </row>
    <row r="95" spans="1:8" ht="21" x14ac:dyDescent="0.7">
      <c r="A95" s="2">
        <v>94</v>
      </c>
      <c r="B95" s="8" t="s">
        <v>23</v>
      </c>
      <c r="C95" s="10" t="s">
        <v>2672</v>
      </c>
      <c r="D95" s="3"/>
      <c r="E95" s="3">
        <v>4</v>
      </c>
      <c r="F95" s="3">
        <f>F94-E95</f>
        <v>0</v>
      </c>
      <c r="G95" s="3">
        <v>7343</v>
      </c>
      <c r="H95" s="5" t="s">
        <v>1545</v>
      </c>
    </row>
    <row r="96" spans="1:8" ht="21" x14ac:dyDescent="0.7">
      <c r="A96" s="2">
        <v>95</v>
      </c>
      <c r="B96" s="8" t="s">
        <v>23</v>
      </c>
      <c r="C96" s="10"/>
      <c r="D96" s="3"/>
      <c r="E96" s="3"/>
      <c r="F96" s="3"/>
      <c r="G96" s="3"/>
      <c r="H96" s="5"/>
    </row>
  </sheetData>
  <mergeCells count="5">
    <mergeCell ref="G4:H4"/>
    <mergeCell ref="G19:H19"/>
    <mergeCell ref="G83:H83"/>
    <mergeCell ref="G89:H89"/>
    <mergeCell ref="G90:H90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59999389629810485"/>
  </sheetPr>
  <dimension ref="A1:H24"/>
  <sheetViews>
    <sheetView rightToLeft="1" zoomScale="130" zoomScaleNormal="130" workbookViewId="0">
      <pane ySplit="1" topLeftCell="A17" activePane="bottomLeft" state="frozen"/>
      <selection pane="bottomLeft" activeCell="H24" sqref="H24"/>
    </sheetView>
  </sheetViews>
  <sheetFormatPr defaultRowHeight="14.4" x14ac:dyDescent="0.3"/>
  <cols>
    <col min="2" max="2" width="14.44140625" bestFit="1" customWidth="1"/>
    <col min="3" max="3" width="11.88671875" bestFit="1" customWidth="1"/>
    <col min="8" max="8" width="18.1093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24</v>
      </c>
      <c r="C2" s="10" t="s">
        <v>67</v>
      </c>
      <c r="D2" s="3"/>
      <c r="E2" s="3">
        <v>1</v>
      </c>
      <c r="F2" s="3">
        <v>167</v>
      </c>
      <c r="G2" s="3">
        <v>3379</v>
      </c>
      <c r="H2" s="5" t="s">
        <v>68</v>
      </c>
    </row>
    <row r="3" spans="1:8" ht="20.25" customHeight="1" x14ac:dyDescent="0.3">
      <c r="A3" s="2">
        <v>2</v>
      </c>
      <c r="B3" s="8" t="s">
        <v>24</v>
      </c>
      <c r="C3" s="10"/>
      <c r="D3" s="3"/>
      <c r="E3" s="3"/>
      <c r="F3" s="3">
        <v>163</v>
      </c>
      <c r="G3" s="48" t="s">
        <v>376</v>
      </c>
      <c r="H3" s="49"/>
    </row>
    <row r="4" spans="1:8" ht="21" x14ac:dyDescent="0.7">
      <c r="A4" s="2">
        <v>3</v>
      </c>
      <c r="B4" s="8" t="s">
        <v>24</v>
      </c>
      <c r="C4" s="10" t="s">
        <v>461</v>
      </c>
      <c r="D4" s="3"/>
      <c r="E4" s="3">
        <v>3</v>
      </c>
      <c r="F4" s="3">
        <f t="shared" ref="F4:F9" si="0">F3-E4</f>
        <v>160</v>
      </c>
      <c r="G4" s="3" t="s">
        <v>463</v>
      </c>
      <c r="H4" s="5" t="s">
        <v>55</v>
      </c>
    </row>
    <row r="5" spans="1:8" ht="21" x14ac:dyDescent="0.7">
      <c r="A5" s="2">
        <v>4</v>
      </c>
      <c r="B5" s="8" t="s">
        <v>24</v>
      </c>
      <c r="C5" s="10" t="s">
        <v>554</v>
      </c>
      <c r="D5" s="3"/>
      <c r="E5" s="3">
        <v>15</v>
      </c>
      <c r="F5" s="3">
        <f t="shared" si="0"/>
        <v>145</v>
      </c>
      <c r="G5" s="3">
        <v>4268</v>
      </c>
      <c r="H5" s="5" t="s">
        <v>555</v>
      </c>
    </row>
    <row r="6" spans="1:8" ht="21" x14ac:dyDescent="0.7">
      <c r="A6" s="2">
        <v>5</v>
      </c>
      <c r="B6" s="8" t="s">
        <v>24</v>
      </c>
      <c r="C6" s="10" t="s">
        <v>1712</v>
      </c>
      <c r="D6" s="3"/>
      <c r="E6" s="3">
        <v>2</v>
      </c>
      <c r="F6" s="3">
        <f t="shared" si="0"/>
        <v>143</v>
      </c>
      <c r="G6" s="3">
        <v>5855</v>
      </c>
      <c r="H6" s="5" t="s">
        <v>1142</v>
      </c>
    </row>
    <row r="7" spans="1:8" ht="21" x14ac:dyDescent="0.7">
      <c r="A7" s="2">
        <v>6</v>
      </c>
      <c r="B7" s="8" t="s">
        <v>24</v>
      </c>
      <c r="C7" s="10" t="s">
        <v>1965</v>
      </c>
      <c r="D7" s="3"/>
      <c r="E7" s="3">
        <v>12</v>
      </c>
      <c r="F7" s="3">
        <f t="shared" si="0"/>
        <v>131</v>
      </c>
      <c r="G7" s="3">
        <v>6251</v>
      </c>
      <c r="H7" s="5" t="s">
        <v>1545</v>
      </c>
    </row>
    <row r="8" spans="1:8" ht="21" x14ac:dyDescent="0.7">
      <c r="A8" s="2">
        <v>7</v>
      </c>
      <c r="B8" s="8" t="s">
        <v>24</v>
      </c>
      <c r="C8" s="10" t="s">
        <v>1984</v>
      </c>
      <c r="D8" s="3"/>
      <c r="E8" s="3">
        <v>6</v>
      </c>
      <c r="F8" s="3">
        <f t="shared" si="0"/>
        <v>125</v>
      </c>
      <c r="G8" s="3">
        <v>6256</v>
      </c>
      <c r="H8" s="5" t="s">
        <v>1194</v>
      </c>
    </row>
    <row r="9" spans="1:8" ht="21" x14ac:dyDescent="0.7">
      <c r="A9" s="2">
        <v>8</v>
      </c>
      <c r="B9" s="8" t="s">
        <v>24</v>
      </c>
      <c r="C9" s="10" t="s">
        <v>1984</v>
      </c>
      <c r="D9" s="3"/>
      <c r="E9" s="3">
        <v>2</v>
      </c>
      <c r="F9" s="3">
        <f t="shared" si="0"/>
        <v>123</v>
      </c>
      <c r="G9" s="3">
        <v>6257</v>
      </c>
      <c r="H9" s="5" t="s">
        <v>1988</v>
      </c>
    </row>
    <row r="10" spans="1:8" ht="21" x14ac:dyDescent="0.7">
      <c r="A10" s="2">
        <v>9</v>
      </c>
      <c r="B10" s="8" t="s">
        <v>24</v>
      </c>
      <c r="C10" s="10" t="s">
        <v>1999</v>
      </c>
      <c r="D10" s="3"/>
      <c r="E10" s="3">
        <v>3</v>
      </c>
      <c r="F10" s="3">
        <f t="shared" ref="F10:F15" si="1">F9-E10</f>
        <v>120</v>
      </c>
      <c r="G10" s="3">
        <v>6258</v>
      </c>
      <c r="H10" s="5" t="s">
        <v>2000</v>
      </c>
    </row>
    <row r="11" spans="1:8" ht="21" x14ac:dyDescent="0.7">
      <c r="A11" s="2">
        <v>10</v>
      </c>
      <c r="B11" s="8" t="s">
        <v>24</v>
      </c>
      <c r="C11" s="10" t="s">
        <v>2010</v>
      </c>
      <c r="D11" s="3"/>
      <c r="E11" s="3">
        <v>6</v>
      </c>
      <c r="F11" s="3">
        <f t="shared" si="1"/>
        <v>114</v>
      </c>
      <c r="G11" s="3">
        <v>6278</v>
      </c>
      <c r="H11" s="5" t="s">
        <v>1194</v>
      </c>
    </row>
    <row r="12" spans="1:8" ht="21" x14ac:dyDescent="0.7">
      <c r="A12" s="2">
        <v>11</v>
      </c>
      <c r="B12" s="8" t="s">
        <v>24</v>
      </c>
      <c r="C12" s="10" t="s">
        <v>2037</v>
      </c>
      <c r="D12" s="3"/>
      <c r="E12" s="3">
        <v>20</v>
      </c>
      <c r="F12" s="3">
        <f t="shared" si="1"/>
        <v>94</v>
      </c>
      <c r="G12" s="3">
        <v>6306</v>
      </c>
      <c r="H12" s="5" t="s">
        <v>1545</v>
      </c>
    </row>
    <row r="13" spans="1:8" ht="21" x14ac:dyDescent="0.7">
      <c r="A13" s="2">
        <v>12</v>
      </c>
      <c r="B13" s="8" t="s">
        <v>24</v>
      </c>
      <c r="C13" s="10" t="s">
        <v>2037</v>
      </c>
      <c r="D13" s="3"/>
      <c r="E13" s="3">
        <v>1</v>
      </c>
      <c r="F13" s="3">
        <f t="shared" si="1"/>
        <v>93</v>
      </c>
      <c r="G13" s="3">
        <v>6308</v>
      </c>
      <c r="H13" s="5" t="s">
        <v>2038</v>
      </c>
    </row>
    <row r="14" spans="1:8" ht="21" x14ac:dyDescent="0.7">
      <c r="A14" s="2">
        <v>13</v>
      </c>
      <c r="B14" s="8" t="s">
        <v>24</v>
      </c>
      <c r="C14" s="10" t="s">
        <v>2191</v>
      </c>
      <c r="D14" s="3"/>
      <c r="E14" s="3">
        <v>20</v>
      </c>
      <c r="F14" s="3">
        <f t="shared" si="1"/>
        <v>73</v>
      </c>
      <c r="G14" s="3">
        <v>6517</v>
      </c>
      <c r="H14" s="5" t="s">
        <v>1545</v>
      </c>
    </row>
    <row r="15" spans="1:8" ht="21" x14ac:dyDescent="0.7">
      <c r="A15" s="2">
        <v>14</v>
      </c>
      <c r="B15" s="8" t="s">
        <v>24</v>
      </c>
      <c r="C15" s="10" t="s">
        <v>2226</v>
      </c>
      <c r="D15" s="3"/>
      <c r="E15" s="3">
        <v>1</v>
      </c>
      <c r="F15" s="3">
        <f t="shared" si="1"/>
        <v>72</v>
      </c>
      <c r="G15" s="3" t="s">
        <v>2227</v>
      </c>
      <c r="H15" s="5" t="s">
        <v>55</v>
      </c>
    </row>
    <row r="16" spans="1:8" ht="21" x14ac:dyDescent="0.7">
      <c r="A16" s="2">
        <v>15</v>
      </c>
      <c r="B16" s="8" t="s">
        <v>24</v>
      </c>
      <c r="C16" s="10" t="s">
        <v>2234</v>
      </c>
      <c r="D16" s="3"/>
      <c r="E16" s="3">
        <v>7</v>
      </c>
      <c r="F16" s="3">
        <f t="shared" ref="F16:F21" si="2">F15-E16</f>
        <v>65</v>
      </c>
      <c r="G16" s="3">
        <v>6620</v>
      </c>
      <c r="H16" s="5" t="s">
        <v>153</v>
      </c>
    </row>
    <row r="17" spans="1:8" ht="21" x14ac:dyDescent="0.7">
      <c r="A17" s="2">
        <v>16</v>
      </c>
      <c r="B17" s="8" t="s">
        <v>24</v>
      </c>
      <c r="C17" s="10" t="s">
        <v>2252</v>
      </c>
      <c r="D17" s="3"/>
      <c r="E17" s="3">
        <v>1</v>
      </c>
      <c r="F17" s="3">
        <f t="shared" si="2"/>
        <v>64</v>
      </c>
      <c r="G17" s="3" t="s">
        <v>774</v>
      </c>
      <c r="H17" s="5" t="s">
        <v>153</v>
      </c>
    </row>
    <row r="18" spans="1:8" ht="21" x14ac:dyDescent="0.7">
      <c r="A18" s="2">
        <v>17</v>
      </c>
      <c r="B18" s="8" t="s">
        <v>24</v>
      </c>
      <c r="C18" s="10" t="s">
        <v>2260</v>
      </c>
      <c r="D18" s="3"/>
      <c r="E18" s="3">
        <v>14</v>
      </c>
      <c r="F18" s="3">
        <f t="shared" si="2"/>
        <v>50</v>
      </c>
      <c r="G18" s="3">
        <v>6669</v>
      </c>
      <c r="H18" s="5" t="s">
        <v>1545</v>
      </c>
    </row>
    <row r="19" spans="1:8" ht="21" x14ac:dyDescent="0.7">
      <c r="A19" s="2">
        <v>18</v>
      </c>
      <c r="B19" s="8" t="s">
        <v>24</v>
      </c>
      <c r="C19" s="10" t="s">
        <v>2266</v>
      </c>
      <c r="D19" s="3"/>
      <c r="E19" s="3">
        <v>2</v>
      </c>
      <c r="F19" s="3">
        <f t="shared" si="2"/>
        <v>48</v>
      </c>
      <c r="G19" s="3">
        <v>6672</v>
      </c>
      <c r="H19" s="5" t="s">
        <v>2038</v>
      </c>
    </row>
    <row r="20" spans="1:8" ht="21" x14ac:dyDescent="0.7">
      <c r="A20" s="2">
        <v>19</v>
      </c>
      <c r="B20" s="8" t="s">
        <v>24</v>
      </c>
      <c r="C20" s="10" t="s">
        <v>2324</v>
      </c>
      <c r="D20" s="3"/>
      <c r="E20" s="3">
        <v>2</v>
      </c>
      <c r="F20" s="3">
        <f t="shared" si="2"/>
        <v>46</v>
      </c>
      <c r="G20" s="3">
        <v>6758</v>
      </c>
      <c r="H20" s="5" t="s">
        <v>639</v>
      </c>
    </row>
    <row r="21" spans="1:8" ht="21" x14ac:dyDescent="0.7">
      <c r="A21" s="2">
        <v>20</v>
      </c>
      <c r="B21" s="8" t="s">
        <v>24</v>
      </c>
      <c r="C21" s="10" t="s">
        <v>2351</v>
      </c>
      <c r="D21" s="3"/>
      <c r="E21" s="3">
        <v>40</v>
      </c>
      <c r="F21" s="3">
        <f t="shared" si="2"/>
        <v>6</v>
      </c>
      <c r="G21" s="3">
        <v>6791</v>
      </c>
      <c r="H21" s="5" t="s">
        <v>1545</v>
      </c>
    </row>
    <row r="22" spans="1:8" ht="21" x14ac:dyDescent="0.7">
      <c r="A22" s="2">
        <v>21</v>
      </c>
      <c r="B22" s="8" t="s">
        <v>24</v>
      </c>
      <c r="C22" s="10" t="s">
        <v>2672</v>
      </c>
      <c r="D22" s="3"/>
      <c r="E22" s="3">
        <v>4</v>
      </c>
      <c r="F22" s="3">
        <f>F21-E22</f>
        <v>2</v>
      </c>
      <c r="G22" s="3">
        <v>7343</v>
      </c>
      <c r="H22" s="5" t="s">
        <v>1545</v>
      </c>
    </row>
    <row r="23" spans="1:8" ht="21" x14ac:dyDescent="0.7">
      <c r="A23" s="2">
        <v>22</v>
      </c>
      <c r="B23" s="8" t="s">
        <v>24</v>
      </c>
      <c r="C23" s="10"/>
      <c r="D23" s="3"/>
      <c r="E23" s="3">
        <v>2</v>
      </c>
      <c r="F23" s="3">
        <f>F22-E23</f>
        <v>0</v>
      </c>
      <c r="G23" s="3"/>
      <c r="H23" s="5" t="s">
        <v>2673</v>
      </c>
    </row>
    <row r="24" spans="1:8" ht="21" x14ac:dyDescent="0.7">
      <c r="A24" s="2">
        <v>23</v>
      </c>
      <c r="B24" s="8" t="s">
        <v>24</v>
      </c>
      <c r="C24" s="10"/>
      <c r="D24" s="3"/>
      <c r="E24" s="3"/>
      <c r="F24" s="3"/>
      <c r="G24" s="3"/>
      <c r="H24" s="5"/>
    </row>
  </sheetData>
  <mergeCells count="1">
    <mergeCell ref="G3:H3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6" tint="-0.249977111117893"/>
  </sheetPr>
  <dimension ref="A1:H4"/>
  <sheetViews>
    <sheetView rightToLeft="1" zoomScale="120" zoomScaleNormal="120" workbookViewId="0">
      <selection activeCell="E6" sqref="E6"/>
    </sheetView>
  </sheetViews>
  <sheetFormatPr defaultRowHeight="14.4" x14ac:dyDescent="0.3"/>
  <cols>
    <col min="2" max="2" width="10.44140625" bestFit="1" customWidth="1"/>
    <col min="3" max="3" width="11.33203125" bestFit="1" customWidth="1"/>
    <col min="7" max="7" width="11.88671875" bestFit="1" customWidth="1"/>
    <col min="8" max="8" width="15.664062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25</v>
      </c>
      <c r="C2" s="10" t="s">
        <v>8</v>
      </c>
      <c r="D2" s="3"/>
      <c r="E2" s="3">
        <v>2</v>
      </c>
      <c r="F2" s="3">
        <v>3</v>
      </c>
      <c r="G2" s="3">
        <v>3613</v>
      </c>
      <c r="H2" s="5" t="s">
        <v>69</v>
      </c>
    </row>
    <row r="3" spans="1:8" ht="21" x14ac:dyDescent="0.7">
      <c r="A3" s="2">
        <v>2</v>
      </c>
      <c r="B3" s="8" t="s">
        <v>25</v>
      </c>
      <c r="C3" s="10"/>
      <c r="D3" s="3"/>
      <c r="E3" s="3">
        <v>2</v>
      </c>
      <c r="F3" s="3">
        <f>F2-E3</f>
        <v>1</v>
      </c>
      <c r="G3" s="3">
        <v>6227</v>
      </c>
      <c r="H3" s="5" t="s">
        <v>1938</v>
      </c>
    </row>
    <row r="4" spans="1:8" ht="21" x14ac:dyDescent="0.7">
      <c r="A4" s="2">
        <v>3</v>
      </c>
      <c r="B4" s="8" t="s">
        <v>25</v>
      </c>
      <c r="C4" s="10" t="s">
        <v>1965</v>
      </c>
      <c r="D4" s="3"/>
      <c r="E4" s="3">
        <v>1</v>
      </c>
      <c r="F4" s="3">
        <f>F3-E4</f>
        <v>0</v>
      </c>
      <c r="G4" s="3">
        <v>6251</v>
      </c>
      <c r="H4" s="5" t="s">
        <v>1938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1"/>
  <sheetViews>
    <sheetView rightToLeft="1" zoomScale="110" zoomScaleNormal="110" workbookViewId="0">
      <pane ySplit="1" topLeftCell="A41" activePane="bottomLeft" state="frozen"/>
      <selection pane="bottomLeft" activeCell="H51" sqref="H51"/>
    </sheetView>
  </sheetViews>
  <sheetFormatPr defaultRowHeight="14.4" x14ac:dyDescent="0.3"/>
  <cols>
    <col min="2" max="2" width="10.44140625" bestFit="1" customWidth="1"/>
    <col min="3" max="3" width="10.88671875" bestFit="1" customWidth="1"/>
    <col min="7" max="7" width="11.88671875" bestFit="1" customWidth="1"/>
    <col min="8" max="8" width="24.44140625" bestFit="1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1" x14ac:dyDescent="0.7">
      <c r="A2" s="2">
        <v>1</v>
      </c>
      <c r="B2" s="8" t="s">
        <v>26</v>
      </c>
      <c r="C2" s="10" t="s">
        <v>70</v>
      </c>
      <c r="D2" s="3"/>
      <c r="E2" s="3">
        <v>1</v>
      </c>
      <c r="F2" s="3">
        <v>373</v>
      </c>
      <c r="G2" s="3">
        <v>3578</v>
      </c>
      <c r="H2" s="5" t="s">
        <v>71</v>
      </c>
    </row>
    <row r="3" spans="1:9" ht="21" x14ac:dyDescent="0.7">
      <c r="A3" s="2">
        <v>2</v>
      </c>
      <c r="B3" s="8" t="s">
        <v>26</v>
      </c>
      <c r="C3" s="10" t="s">
        <v>125</v>
      </c>
      <c r="D3" s="3"/>
      <c r="E3" s="3">
        <v>1</v>
      </c>
      <c r="F3" s="3">
        <f>F2-E3</f>
        <v>372</v>
      </c>
      <c r="G3" s="3">
        <v>3678</v>
      </c>
      <c r="H3" s="5" t="s">
        <v>126</v>
      </c>
    </row>
    <row r="4" spans="1:9" ht="20.25" customHeight="1" x14ac:dyDescent="0.3">
      <c r="A4" s="2">
        <v>3</v>
      </c>
      <c r="B4" s="8" t="s">
        <v>26</v>
      </c>
      <c r="C4" s="10"/>
      <c r="D4" s="3"/>
      <c r="E4" s="3">
        <v>9</v>
      </c>
      <c r="F4" s="3">
        <f>F3-E4</f>
        <v>363</v>
      </c>
      <c r="G4" s="46" t="s">
        <v>194</v>
      </c>
      <c r="H4" s="47"/>
      <c r="I4" t="s">
        <v>375</v>
      </c>
    </row>
    <row r="5" spans="1:9" ht="21" x14ac:dyDescent="0.7">
      <c r="A5" s="2">
        <v>4</v>
      </c>
      <c r="B5" s="8" t="s">
        <v>26</v>
      </c>
      <c r="C5" s="10" t="s">
        <v>231</v>
      </c>
      <c r="D5" s="3"/>
      <c r="E5" s="3">
        <v>5</v>
      </c>
      <c r="F5" s="3">
        <f>F4-E5</f>
        <v>358</v>
      </c>
      <c r="G5" s="3" t="s">
        <v>232</v>
      </c>
      <c r="H5" s="5" t="s">
        <v>55</v>
      </c>
    </row>
    <row r="6" spans="1:9" ht="21" x14ac:dyDescent="0.7">
      <c r="A6" s="2">
        <v>5</v>
      </c>
      <c r="B6" s="8" t="s">
        <v>26</v>
      </c>
      <c r="C6" s="10" t="s">
        <v>255</v>
      </c>
      <c r="D6" s="3"/>
      <c r="E6" s="3">
        <v>8</v>
      </c>
      <c r="F6" s="3">
        <f>F5-E6</f>
        <v>350</v>
      </c>
      <c r="G6" s="3" t="s">
        <v>256</v>
      </c>
      <c r="H6" s="5" t="s">
        <v>55</v>
      </c>
    </row>
    <row r="7" spans="1:9" ht="21" x14ac:dyDescent="0.7">
      <c r="A7" s="2">
        <v>6</v>
      </c>
      <c r="B7" s="8" t="s">
        <v>26</v>
      </c>
      <c r="C7" s="10" t="s">
        <v>255</v>
      </c>
      <c r="D7" s="3"/>
      <c r="E7" s="3">
        <v>5</v>
      </c>
      <c r="F7" s="3">
        <f>F6-E7</f>
        <v>345</v>
      </c>
      <c r="G7" s="3">
        <v>3874</v>
      </c>
      <c r="H7" s="5" t="s">
        <v>257</v>
      </c>
    </row>
    <row r="8" spans="1:9" ht="21" x14ac:dyDescent="0.7">
      <c r="A8" s="2">
        <v>7</v>
      </c>
      <c r="B8" s="8" t="s">
        <v>26</v>
      </c>
      <c r="C8" s="10" t="s">
        <v>261</v>
      </c>
      <c r="D8" s="3">
        <v>3</v>
      </c>
      <c r="E8" s="3"/>
      <c r="F8" s="3">
        <f>F7+D8</f>
        <v>348</v>
      </c>
      <c r="G8" s="3" t="s">
        <v>256</v>
      </c>
      <c r="H8" s="5" t="s">
        <v>55</v>
      </c>
      <c r="I8" t="s">
        <v>262</v>
      </c>
    </row>
    <row r="9" spans="1:9" ht="21" x14ac:dyDescent="0.7">
      <c r="A9" s="2">
        <v>8</v>
      </c>
      <c r="B9" s="8" t="s">
        <v>26</v>
      </c>
      <c r="C9" s="10" t="s">
        <v>461</v>
      </c>
      <c r="D9" s="3"/>
      <c r="E9" s="3">
        <v>3</v>
      </c>
      <c r="F9" s="3">
        <f t="shared" ref="F9:F14" si="0">F8-E9</f>
        <v>345</v>
      </c>
      <c r="G9" s="3" t="s">
        <v>463</v>
      </c>
      <c r="H9" s="5" t="s">
        <v>55</v>
      </c>
    </row>
    <row r="10" spans="1:9" ht="21" x14ac:dyDescent="0.7">
      <c r="A10" s="2">
        <v>9</v>
      </c>
      <c r="B10" s="8" t="s">
        <v>26</v>
      </c>
      <c r="C10" s="10" t="s">
        <v>534</v>
      </c>
      <c r="D10" s="3"/>
      <c r="E10" s="3">
        <v>5</v>
      </c>
      <c r="F10" s="3">
        <f t="shared" si="0"/>
        <v>340</v>
      </c>
      <c r="G10" s="3" t="s">
        <v>535</v>
      </c>
      <c r="H10" s="5" t="s">
        <v>91</v>
      </c>
    </row>
    <row r="11" spans="1:9" ht="21" x14ac:dyDescent="0.7">
      <c r="A11" s="2">
        <v>10</v>
      </c>
      <c r="B11" s="8" t="s">
        <v>26</v>
      </c>
      <c r="C11" s="10" t="s">
        <v>560</v>
      </c>
      <c r="D11" s="3"/>
      <c r="E11" s="3">
        <v>5</v>
      </c>
      <c r="F11" s="3">
        <f t="shared" si="0"/>
        <v>335</v>
      </c>
      <c r="G11" s="3">
        <v>4277</v>
      </c>
      <c r="H11" s="5" t="s">
        <v>257</v>
      </c>
    </row>
    <row r="12" spans="1:9" ht="21" x14ac:dyDescent="0.7">
      <c r="A12" s="2">
        <v>11</v>
      </c>
      <c r="B12" s="8" t="s">
        <v>26</v>
      </c>
      <c r="C12" s="10" t="s">
        <v>684</v>
      </c>
      <c r="D12" s="3"/>
      <c r="E12" s="3">
        <v>1</v>
      </c>
      <c r="F12" s="3">
        <f t="shared" si="0"/>
        <v>334</v>
      </c>
      <c r="G12" s="3" t="s">
        <v>686</v>
      </c>
      <c r="H12" s="5" t="s">
        <v>436</v>
      </c>
    </row>
    <row r="13" spans="1:9" ht="21" x14ac:dyDescent="0.7">
      <c r="A13" s="2">
        <v>12</v>
      </c>
      <c r="B13" s="8" t="s">
        <v>26</v>
      </c>
      <c r="C13" s="10" t="s">
        <v>687</v>
      </c>
      <c r="D13" s="3"/>
      <c r="E13" s="3">
        <v>3</v>
      </c>
      <c r="F13" s="3">
        <f t="shared" si="0"/>
        <v>331</v>
      </c>
      <c r="G13" s="3">
        <v>4421</v>
      </c>
      <c r="H13" s="5" t="s">
        <v>598</v>
      </c>
    </row>
    <row r="14" spans="1:9" ht="21" x14ac:dyDescent="0.7">
      <c r="A14" s="2">
        <v>13</v>
      </c>
      <c r="B14" s="8" t="s">
        <v>26</v>
      </c>
      <c r="C14" s="10" t="s">
        <v>689</v>
      </c>
      <c r="D14" s="3"/>
      <c r="E14" s="3">
        <v>1</v>
      </c>
      <c r="F14" s="3">
        <f t="shared" si="0"/>
        <v>330</v>
      </c>
      <c r="G14" s="3">
        <v>4425</v>
      </c>
      <c r="H14" s="5" t="s">
        <v>598</v>
      </c>
    </row>
    <row r="15" spans="1:9" ht="21" x14ac:dyDescent="0.7">
      <c r="A15" s="2">
        <v>14</v>
      </c>
      <c r="B15" s="8" t="s">
        <v>26</v>
      </c>
      <c r="C15" s="10" t="s">
        <v>764</v>
      </c>
      <c r="D15" s="3"/>
      <c r="E15" s="3">
        <v>1</v>
      </c>
      <c r="F15" s="3">
        <f t="shared" ref="F15:F20" si="1">F14-E15</f>
        <v>329</v>
      </c>
      <c r="G15" s="3" t="s">
        <v>766</v>
      </c>
      <c r="H15" s="5" t="s">
        <v>436</v>
      </c>
    </row>
    <row r="16" spans="1:9" ht="21" x14ac:dyDescent="0.7">
      <c r="A16" s="2">
        <v>15</v>
      </c>
      <c r="B16" s="8" t="s">
        <v>26</v>
      </c>
      <c r="C16" s="10" t="s">
        <v>779</v>
      </c>
      <c r="D16" s="3"/>
      <c r="E16" s="3">
        <v>4</v>
      </c>
      <c r="F16" s="3">
        <f t="shared" si="1"/>
        <v>325</v>
      </c>
      <c r="G16" s="3">
        <v>4582</v>
      </c>
      <c r="H16" s="5" t="s">
        <v>257</v>
      </c>
    </row>
    <row r="17" spans="1:9" ht="21" x14ac:dyDescent="0.7">
      <c r="A17" s="2">
        <v>16</v>
      </c>
      <c r="B17" s="8" t="s">
        <v>26</v>
      </c>
      <c r="C17" s="10" t="s">
        <v>800</v>
      </c>
      <c r="D17" s="3"/>
      <c r="E17" s="3">
        <v>3</v>
      </c>
      <c r="F17" s="3">
        <f t="shared" si="1"/>
        <v>322</v>
      </c>
      <c r="G17" s="3" t="s">
        <v>801</v>
      </c>
      <c r="H17" s="5" t="s">
        <v>55</v>
      </c>
    </row>
    <row r="18" spans="1:9" ht="21" x14ac:dyDescent="0.7">
      <c r="A18" s="2">
        <v>17</v>
      </c>
      <c r="B18" s="8" t="s">
        <v>26</v>
      </c>
      <c r="C18" s="10" t="s">
        <v>807</v>
      </c>
      <c r="D18" s="3"/>
      <c r="E18" s="3">
        <v>4</v>
      </c>
      <c r="F18" s="3">
        <f t="shared" si="1"/>
        <v>318</v>
      </c>
      <c r="G18" s="3" t="s">
        <v>808</v>
      </c>
      <c r="H18" s="5" t="s">
        <v>55</v>
      </c>
    </row>
    <row r="19" spans="1:9" ht="21" x14ac:dyDescent="0.7">
      <c r="A19" s="2">
        <v>18</v>
      </c>
      <c r="B19" s="8" t="s">
        <v>26</v>
      </c>
      <c r="C19" s="10" t="s">
        <v>861</v>
      </c>
      <c r="D19" s="3"/>
      <c r="E19" s="3">
        <v>12</v>
      </c>
      <c r="F19" s="3">
        <f t="shared" si="1"/>
        <v>306</v>
      </c>
      <c r="G19" s="3">
        <v>4681</v>
      </c>
      <c r="H19" s="5" t="s">
        <v>863</v>
      </c>
      <c r="I19" s="20" t="s">
        <v>958</v>
      </c>
    </row>
    <row r="20" spans="1:9" ht="21" x14ac:dyDescent="0.7">
      <c r="A20" s="2">
        <v>19</v>
      </c>
      <c r="B20" s="8" t="s">
        <v>26</v>
      </c>
      <c r="C20" s="10" t="s">
        <v>1007</v>
      </c>
      <c r="D20" s="3"/>
      <c r="E20" s="3">
        <v>10</v>
      </c>
      <c r="F20" s="3">
        <f t="shared" si="1"/>
        <v>296</v>
      </c>
      <c r="G20" s="3">
        <v>4882</v>
      </c>
      <c r="H20" s="5" t="s">
        <v>866</v>
      </c>
      <c r="I20" s="20"/>
    </row>
    <row r="21" spans="1:9" ht="21" x14ac:dyDescent="0.7">
      <c r="A21" s="2">
        <v>20</v>
      </c>
      <c r="B21" s="8" t="s">
        <v>26</v>
      </c>
      <c r="C21" s="10" t="s">
        <v>920</v>
      </c>
      <c r="D21" s="3"/>
      <c r="E21" s="3">
        <v>6</v>
      </c>
      <c r="F21" s="3">
        <f t="shared" ref="F21:F26" si="2">F20-E21</f>
        <v>290</v>
      </c>
      <c r="G21" s="3" t="s">
        <v>923</v>
      </c>
      <c r="H21" s="5" t="s">
        <v>55</v>
      </c>
    </row>
    <row r="22" spans="1:9" ht="21" x14ac:dyDescent="0.7">
      <c r="A22" s="2">
        <v>21</v>
      </c>
      <c r="B22" s="8" t="s">
        <v>26</v>
      </c>
      <c r="C22" s="10" t="s">
        <v>1071</v>
      </c>
      <c r="D22" s="3"/>
      <c r="E22" s="3">
        <v>10</v>
      </c>
      <c r="F22" s="3">
        <f t="shared" si="2"/>
        <v>280</v>
      </c>
      <c r="G22" s="3">
        <v>4974</v>
      </c>
      <c r="H22" s="5" t="s">
        <v>1073</v>
      </c>
    </row>
    <row r="23" spans="1:9" ht="21" x14ac:dyDescent="0.7">
      <c r="A23" s="2">
        <v>22</v>
      </c>
      <c r="B23" s="8" t="s">
        <v>26</v>
      </c>
      <c r="C23" s="10" t="s">
        <v>1093</v>
      </c>
      <c r="D23" s="3"/>
      <c r="E23" s="3">
        <v>5</v>
      </c>
      <c r="F23" s="3">
        <f t="shared" si="2"/>
        <v>275</v>
      </c>
      <c r="G23" s="3">
        <v>5024</v>
      </c>
      <c r="H23" s="5" t="s">
        <v>257</v>
      </c>
    </row>
    <row r="24" spans="1:9" ht="21" x14ac:dyDescent="0.7">
      <c r="A24" s="2">
        <v>23</v>
      </c>
      <c r="B24" s="8" t="s">
        <v>26</v>
      </c>
      <c r="C24" s="10" t="s">
        <v>1093</v>
      </c>
      <c r="D24" s="3"/>
      <c r="E24" s="3">
        <v>1</v>
      </c>
      <c r="F24" s="3">
        <f t="shared" si="2"/>
        <v>274</v>
      </c>
      <c r="G24" s="3">
        <v>5026</v>
      </c>
      <c r="H24" s="5" t="s">
        <v>257</v>
      </c>
    </row>
    <row r="25" spans="1:9" ht="21" x14ac:dyDescent="0.7">
      <c r="A25" s="2">
        <v>24</v>
      </c>
      <c r="B25" s="8" t="s">
        <v>26</v>
      </c>
      <c r="C25" s="10" t="s">
        <v>1116</v>
      </c>
      <c r="D25" s="3"/>
      <c r="E25" s="3">
        <v>2</v>
      </c>
      <c r="F25" s="3">
        <f t="shared" si="2"/>
        <v>272</v>
      </c>
      <c r="G25" s="3" t="s">
        <v>1117</v>
      </c>
      <c r="H25" s="5" t="s">
        <v>55</v>
      </c>
    </row>
    <row r="26" spans="1:9" ht="21" x14ac:dyDescent="0.7">
      <c r="A26" s="2">
        <v>25</v>
      </c>
      <c r="B26" s="8" t="s">
        <v>26</v>
      </c>
      <c r="C26" s="10" t="s">
        <v>1135</v>
      </c>
      <c r="D26" s="3"/>
      <c r="E26" s="3">
        <v>3</v>
      </c>
      <c r="F26" s="3">
        <f t="shared" si="2"/>
        <v>269</v>
      </c>
      <c r="G26" s="3" t="s">
        <v>1136</v>
      </c>
      <c r="H26" s="5" t="s">
        <v>55</v>
      </c>
    </row>
    <row r="27" spans="1:9" ht="21" x14ac:dyDescent="0.7">
      <c r="A27" s="2">
        <v>26</v>
      </c>
      <c r="B27" s="8" t="s">
        <v>26</v>
      </c>
      <c r="C27" s="10" t="s">
        <v>1169</v>
      </c>
      <c r="D27" s="3"/>
      <c r="E27" s="3">
        <v>20</v>
      </c>
      <c r="F27" s="3">
        <f t="shared" ref="F27:F32" si="3">F26-E27</f>
        <v>249</v>
      </c>
      <c r="G27" s="3" t="s">
        <v>1170</v>
      </c>
      <c r="H27" s="5" t="s">
        <v>436</v>
      </c>
    </row>
    <row r="28" spans="1:9" ht="21" x14ac:dyDescent="0.7">
      <c r="A28" s="2">
        <v>27</v>
      </c>
      <c r="B28" s="8" t="s">
        <v>26</v>
      </c>
      <c r="C28" s="10" t="s">
        <v>1172</v>
      </c>
      <c r="D28" s="3"/>
      <c r="E28" s="3">
        <v>3</v>
      </c>
      <c r="F28" s="3">
        <f t="shared" si="3"/>
        <v>246</v>
      </c>
      <c r="G28" s="3" t="s">
        <v>1173</v>
      </c>
      <c r="H28" s="5" t="s">
        <v>55</v>
      </c>
    </row>
    <row r="29" spans="1:9" ht="21" x14ac:dyDescent="0.7">
      <c r="A29" s="2">
        <v>28</v>
      </c>
      <c r="B29" s="8" t="s">
        <v>26</v>
      </c>
      <c r="C29" s="10" t="s">
        <v>1182</v>
      </c>
      <c r="D29" s="3"/>
      <c r="E29" s="3">
        <v>2</v>
      </c>
      <c r="F29" s="3">
        <f t="shared" si="3"/>
        <v>244</v>
      </c>
      <c r="G29" s="3">
        <v>5148</v>
      </c>
      <c r="H29" s="5" t="s">
        <v>1183</v>
      </c>
    </row>
    <row r="30" spans="1:9" ht="21" x14ac:dyDescent="0.7">
      <c r="A30" s="2">
        <v>29</v>
      </c>
      <c r="B30" s="8" t="s">
        <v>26</v>
      </c>
      <c r="C30" s="10" t="s">
        <v>1209</v>
      </c>
      <c r="D30" s="3"/>
      <c r="E30" s="3">
        <v>5</v>
      </c>
      <c r="F30" s="3">
        <f t="shared" si="3"/>
        <v>239</v>
      </c>
      <c r="G30" s="3">
        <v>5184</v>
      </c>
      <c r="H30" s="5" t="s">
        <v>598</v>
      </c>
    </row>
    <row r="31" spans="1:9" ht="21" x14ac:dyDescent="0.7">
      <c r="A31" s="2">
        <v>30</v>
      </c>
      <c r="B31" s="8" t="s">
        <v>26</v>
      </c>
      <c r="C31" s="10" t="s">
        <v>1211</v>
      </c>
      <c r="D31" s="3"/>
      <c r="E31" s="3">
        <v>30</v>
      </c>
      <c r="F31" s="3">
        <f t="shared" si="3"/>
        <v>209</v>
      </c>
      <c r="G31" s="3">
        <v>5185</v>
      </c>
      <c r="H31" s="5" t="s">
        <v>1213</v>
      </c>
    </row>
    <row r="32" spans="1:9" ht="21" x14ac:dyDescent="0.7">
      <c r="A32" s="2">
        <v>31</v>
      </c>
      <c r="B32" s="8" t="s">
        <v>26</v>
      </c>
      <c r="C32" s="10" t="s">
        <v>1215</v>
      </c>
      <c r="D32" s="3"/>
      <c r="E32" s="3">
        <v>5</v>
      </c>
      <c r="F32" s="3">
        <f t="shared" si="3"/>
        <v>204</v>
      </c>
      <c r="G32" s="3">
        <v>5188</v>
      </c>
      <c r="H32" s="5" t="s">
        <v>598</v>
      </c>
    </row>
    <row r="33" spans="1:8" ht="21" x14ac:dyDescent="0.7">
      <c r="A33" s="2">
        <v>32</v>
      </c>
      <c r="B33" s="8" t="s">
        <v>26</v>
      </c>
      <c r="C33" s="10" t="s">
        <v>1219</v>
      </c>
      <c r="D33" s="3"/>
      <c r="E33" s="3">
        <v>20</v>
      </c>
      <c r="F33" s="3">
        <f t="shared" ref="F33:F38" si="4">F32-E33</f>
        <v>184</v>
      </c>
      <c r="G33" s="3">
        <v>5193</v>
      </c>
      <c r="H33" s="5" t="s">
        <v>598</v>
      </c>
    </row>
    <row r="34" spans="1:8" ht="21" x14ac:dyDescent="0.7">
      <c r="A34" s="2">
        <v>33</v>
      </c>
      <c r="B34" s="8" t="s">
        <v>26</v>
      </c>
      <c r="C34" s="10" t="s">
        <v>1246</v>
      </c>
      <c r="D34" s="3"/>
      <c r="E34" s="3">
        <v>50</v>
      </c>
      <c r="F34" s="3">
        <f t="shared" si="4"/>
        <v>134</v>
      </c>
      <c r="G34" s="3">
        <v>5242</v>
      </c>
      <c r="H34" s="5" t="s">
        <v>1183</v>
      </c>
    </row>
    <row r="35" spans="1:8" ht="21" x14ac:dyDescent="0.7">
      <c r="A35" s="2">
        <v>34</v>
      </c>
      <c r="B35" s="8" t="s">
        <v>26</v>
      </c>
      <c r="C35" s="10" t="s">
        <v>1257</v>
      </c>
      <c r="D35" s="3"/>
      <c r="E35" s="3">
        <v>1</v>
      </c>
      <c r="F35" s="3">
        <f t="shared" si="4"/>
        <v>133</v>
      </c>
      <c r="G35" s="3" t="s">
        <v>1258</v>
      </c>
      <c r="H35" s="5" t="s">
        <v>55</v>
      </c>
    </row>
    <row r="36" spans="1:8" ht="21" x14ac:dyDescent="0.7">
      <c r="A36" s="2">
        <v>35</v>
      </c>
      <c r="B36" s="8" t="s">
        <v>26</v>
      </c>
      <c r="C36" s="10" t="s">
        <v>1289</v>
      </c>
      <c r="D36" s="3"/>
      <c r="E36" s="3">
        <v>35</v>
      </c>
      <c r="F36" s="3">
        <f t="shared" si="4"/>
        <v>98</v>
      </c>
      <c r="G36" s="3">
        <v>5291</v>
      </c>
      <c r="H36" s="5" t="s">
        <v>1213</v>
      </c>
    </row>
    <row r="37" spans="1:8" ht="21" x14ac:dyDescent="0.7">
      <c r="A37" s="2">
        <v>36</v>
      </c>
      <c r="B37" s="8" t="s">
        <v>26</v>
      </c>
      <c r="C37" s="10" t="s">
        <v>1387</v>
      </c>
      <c r="D37" s="3"/>
      <c r="E37" s="3">
        <v>10</v>
      </c>
      <c r="F37" s="3">
        <f t="shared" si="4"/>
        <v>88</v>
      </c>
      <c r="G37" s="3">
        <v>5399</v>
      </c>
      <c r="H37" s="5" t="s">
        <v>71</v>
      </c>
    </row>
    <row r="38" spans="1:8" ht="21" x14ac:dyDescent="0.7">
      <c r="A38" s="2">
        <v>37</v>
      </c>
      <c r="B38" s="8" t="s">
        <v>26</v>
      </c>
      <c r="C38" s="10" t="s">
        <v>1388</v>
      </c>
      <c r="D38" s="3"/>
      <c r="E38" s="3">
        <v>2</v>
      </c>
      <c r="F38" s="3">
        <f t="shared" si="4"/>
        <v>86</v>
      </c>
      <c r="G38" s="3" t="s">
        <v>1389</v>
      </c>
      <c r="H38" s="5" t="s">
        <v>55</v>
      </c>
    </row>
    <row r="39" spans="1:8" ht="21" x14ac:dyDescent="0.7">
      <c r="A39" s="2">
        <v>38</v>
      </c>
      <c r="B39" s="8" t="s">
        <v>26</v>
      </c>
      <c r="C39" s="10" t="s">
        <v>1398</v>
      </c>
      <c r="D39" s="3"/>
      <c r="E39" s="3">
        <v>1</v>
      </c>
      <c r="F39" s="3">
        <f t="shared" ref="F39:F44" si="5">F38-E39</f>
        <v>85</v>
      </c>
      <c r="G39" s="3" t="s">
        <v>1399</v>
      </c>
      <c r="H39" s="5" t="s">
        <v>436</v>
      </c>
    </row>
    <row r="40" spans="1:8" ht="21" x14ac:dyDescent="0.7">
      <c r="A40" s="2">
        <v>39</v>
      </c>
      <c r="B40" s="8" t="s">
        <v>26</v>
      </c>
      <c r="C40" s="10" t="s">
        <v>1437</v>
      </c>
      <c r="D40" s="3"/>
      <c r="E40" s="3">
        <v>1</v>
      </c>
      <c r="F40" s="3">
        <f t="shared" si="5"/>
        <v>84</v>
      </c>
      <c r="G40" s="3" t="s">
        <v>1438</v>
      </c>
      <c r="H40" s="5" t="s">
        <v>55</v>
      </c>
    </row>
    <row r="41" spans="1:8" ht="21" x14ac:dyDescent="0.7">
      <c r="A41" s="2">
        <v>40</v>
      </c>
      <c r="B41" s="8" t="s">
        <v>26</v>
      </c>
      <c r="C41" s="10" t="s">
        <v>1441</v>
      </c>
      <c r="D41" s="3"/>
      <c r="E41" s="3">
        <v>3</v>
      </c>
      <c r="F41" s="3">
        <f t="shared" si="5"/>
        <v>81</v>
      </c>
      <c r="G41" s="3">
        <v>5449</v>
      </c>
      <c r="H41" s="5" t="s">
        <v>1443</v>
      </c>
    </row>
    <row r="42" spans="1:8" ht="21" x14ac:dyDescent="0.7">
      <c r="A42" s="2">
        <v>41</v>
      </c>
      <c r="B42" s="8" t="s">
        <v>26</v>
      </c>
      <c r="C42" s="10" t="s">
        <v>1451</v>
      </c>
      <c r="D42" s="3"/>
      <c r="E42" s="3">
        <v>50</v>
      </c>
      <c r="F42" s="3">
        <f t="shared" si="5"/>
        <v>31</v>
      </c>
      <c r="G42" s="3">
        <v>5458</v>
      </c>
      <c r="H42" s="5" t="s">
        <v>1450</v>
      </c>
    </row>
    <row r="43" spans="1:8" ht="21" x14ac:dyDescent="0.7">
      <c r="A43" s="2">
        <v>42</v>
      </c>
      <c r="B43" s="8" t="s">
        <v>26</v>
      </c>
      <c r="C43" s="10" t="s">
        <v>1592</v>
      </c>
      <c r="D43" s="3"/>
      <c r="E43" s="3">
        <v>1</v>
      </c>
      <c r="F43" s="3">
        <f t="shared" si="5"/>
        <v>30</v>
      </c>
      <c r="G43" s="3">
        <v>5670</v>
      </c>
      <c r="H43" s="5" t="s">
        <v>933</v>
      </c>
    </row>
    <row r="44" spans="1:8" ht="21" x14ac:dyDescent="0.7">
      <c r="A44" s="2">
        <v>43</v>
      </c>
      <c r="B44" s="8" t="s">
        <v>26</v>
      </c>
      <c r="C44" s="10" t="s">
        <v>1654</v>
      </c>
      <c r="D44" s="3"/>
      <c r="E44" s="3">
        <v>1</v>
      </c>
      <c r="F44" s="3">
        <f t="shared" si="5"/>
        <v>29</v>
      </c>
      <c r="G44" s="3">
        <v>5742</v>
      </c>
      <c r="H44" s="5" t="s">
        <v>1395</v>
      </c>
    </row>
    <row r="45" spans="1:8" ht="21" x14ac:dyDescent="0.7">
      <c r="A45" s="2">
        <v>44</v>
      </c>
      <c r="B45" s="8" t="s">
        <v>26</v>
      </c>
      <c r="C45" s="10" t="s">
        <v>1692</v>
      </c>
      <c r="D45" s="3"/>
      <c r="E45" s="3">
        <v>1</v>
      </c>
      <c r="F45" s="3">
        <f>F44-E45</f>
        <v>28</v>
      </c>
      <c r="G45" s="3">
        <v>5817</v>
      </c>
      <c r="H45" s="5" t="s">
        <v>1693</v>
      </c>
    </row>
    <row r="46" spans="1:8" ht="21" x14ac:dyDescent="0.7">
      <c r="A46" s="2">
        <v>45</v>
      </c>
      <c r="B46" s="8" t="s">
        <v>26</v>
      </c>
      <c r="C46" s="10" t="s">
        <v>1726</v>
      </c>
      <c r="D46" s="3"/>
      <c r="E46" s="3">
        <v>3</v>
      </c>
      <c r="F46" s="3">
        <f>F45-E46</f>
        <v>25</v>
      </c>
      <c r="G46" s="3" t="s">
        <v>1727</v>
      </c>
      <c r="H46" s="5" t="s">
        <v>55</v>
      </c>
    </row>
    <row r="47" spans="1:8" ht="21" x14ac:dyDescent="0.7">
      <c r="A47" s="2">
        <v>46</v>
      </c>
      <c r="B47" s="8" t="s">
        <v>26</v>
      </c>
      <c r="C47" s="10" t="s">
        <v>1757</v>
      </c>
      <c r="D47" s="3"/>
      <c r="E47" s="3">
        <v>1</v>
      </c>
      <c r="F47" s="3">
        <f>F46-E47</f>
        <v>24</v>
      </c>
      <c r="G47" s="3" t="s">
        <v>1758</v>
      </c>
      <c r="H47" s="5" t="s">
        <v>55</v>
      </c>
    </row>
    <row r="48" spans="1:8" ht="21" x14ac:dyDescent="0.7">
      <c r="A48" s="2">
        <v>47</v>
      </c>
      <c r="B48" s="8" t="s">
        <v>26</v>
      </c>
      <c r="C48" s="10" t="s">
        <v>1790</v>
      </c>
      <c r="D48" s="3"/>
      <c r="E48" s="3">
        <v>11</v>
      </c>
      <c r="F48" s="3">
        <f>F47-E48</f>
        <v>13</v>
      </c>
      <c r="G48" s="3">
        <v>6020</v>
      </c>
      <c r="H48" s="5" t="s">
        <v>1794</v>
      </c>
    </row>
    <row r="49" spans="1:8" ht="21" x14ac:dyDescent="0.7">
      <c r="A49" s="2">
        <v>48</v>
      </c>
      <c r="B49" s="8" t="s">
        <v>26</v>
      </c>
      <c r="C49" s="10"/>
      <c r="D49" s="3"/>
      <c r="E49" s="3"/>
      <c r="F49" s="3"/>
      <c r="G49" s="3"/>
      <c r="H49" s="5" t="s">
        <v>1845</v>
      </c>
    </row>
    <row r="50" spans="1:8" ht="20.25" customHeight="1" x14ac:dyDescent="0.3">
      <c r="A50" s="2"/>
      <c r="B50" s="8"/>
      <c r="C50" s="10"/>
      <c r="D50" s="3"/>
      <c r="E50" s="3"/>
      <c r="F50" s="3">
        <v>0</v>
      </c>
      <c r="G50" s="48" t="s">
        <v>1951</v>
      </c>
      <c r="H50" s="49"/>
    </row>
    <row r="51" spans="1:8" ht="21" x14ac:dyDescent="0.7">
      <c r="A51" s="2">
        <v>49</v>
      </c>
      <c r="B51" s="8" t="s">
        <v>26</v>
      </c>
      <c r="C51" s="10"/>
      <c r="D51" s="3"/>
      <c r="E51" s="3"/>
      <c r="F51" s="3"/>
      <c r="G51" s="3"/>
      <c r="H51" s="5"/>
    </row>
  </sheetData>
  <mergeCells count="2">
    <mergeCell ref="G4:H4"/>
    <mergeCell ref="G50:H5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H25"/>
  <sheetViews>
    <sheetView rightToLeft="1" zoomScale="115" zoomScaleNormal="115" workbookViewId="0">
      <pane ySplit="1" topLeftCell="A17" activePane="bottomLeft" state="frozen"/>
      <selection pane="bottomLeft" activeCell="G24" sqref="G24"/>
    </sheetView>
  </sheetViews>
  <sheetFormatPr defaultRowHeight="14.4" x14ac:dyDescent="0.3"/>
  <cols>
    <col min="2" max="2" width="10.44140625" bestFit="1" customWidth="1"/>
    <col min="3" max="3" width="11.88671875" bestFit="1" customWidth="1"/>
    <col min="7" max="7" width="11.88671875" bestFit="1" customWidth="1"/>
    <col min="8" max="8" width="19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27</v>
      </c>
      <c r="C2" s="10" t="s">
        <v>72</v>
      </c>
      <c r="D2" s="3"/>
      <c r="E2" s="3">
        <v>13</v>
      </c>
      <c r="F2" s="3">
        <v>0</v>
      </c>
      <c r="G2" s="3">
        <v>3269</v>
      </c>
      <c r="H2" s="5" t="s">
        <v>73</v>
      </c>
    </row>
    <row r="3" spans="1:8" ht="21" x14ac:dyDescent="0.7">
      <c r="A3" s="2">
        <v>2</v>
      </c>
      <c r="B3" s="8" t="s">
        <v>27</v>
      </c>
      <c r="C3" s="13" t="s">
        <v>266</v>
      </c>
      <c r="D3" s="3">
        <v>20</v>
      </c>
      <c r="E3" s="3"/>
      <c r="F3" s="3">
        <v>20</v>
      </c>
      <c r="G3" s="3"/>
      <c r="H3" s="5"/>
    </row>
    <row r="4" spans="1:8" ht="21" x14ac:dyDescent="0.7">
      <c r="A4" s="2">
        <v>3</v>
      </c>
      <c r="B4" s="8" t="s">
        <v>27</v>
      </c>
      <c r="C4" s="10" t="s">
        <v>1394</v>
      </c>
      <c r="D4" s="3"/>
      <c r="E4" s="3">
        <v>12</v>
      </c>
      <c r="F4" s="3">
        <f>F3-E4</f>
        <v>8</v>
      </c>
      <c r="G4" s="3">
        <v>5406</v>
      </c>
      <c r="H4" s="5" t="s">
        <v>1395</v>
      </c>
    </row>
    <row r="5" spans="1:8" ht="21" x14ac:dyDescent="0.7">
      <c r="A5" s="2">
        <v>4</v>
      </c>
      <c r="B5" s="8" t="s">
        <v>27</v>
      </c>
      <c r="C5" s="10" t="s">
        <v>1441</v>
      </c>
      <c r="D5" s="3"/>
      <c r="E5" s="3">
        <v>1</v>
      </c>
      <c r="F5" s="3">
        <f>F4-E5</f>
        <v>7</v>
      </c>
      <c r="G5" s="3">
        <v>5449</v>
      </c>
      <c r="H5" s="5" t="s">
        <v>1443</v>
      </c>
    </row>
    <row r="6" spans="1:8" ht="21" x14ac:dyDescent="0.7">
      <c r="A6" s="2">
        <v>5</v>
      </c>
      <c r="B6" s="8" t="s">
        <v>27</v>
      </c>
      <c r="C6" s="10" t="s">
        <v>1538</v>
      </c>
      <c r="D6" s="3">
        <v>16</v>
      </c>
      <c r="E6" s="3"/>
      <c r="F6" s="3">
        <f>F5+D6</f>
        <v>23</v>
      </c>
      <c r="G6" s="3"/>
      <c r="H6" s="19" t="s">
        <v>1539</v>
      </c>
    </row>
    <row r="7" spans="1:8" ht="21" x14ac:dyDescent="0.7">
      <c r="A7" s="2">
        <v>6</v>
      </c>
      <c r="B7" s="8" t="s">
        <v>27</v>
      </c>
      <c r="C7" s="10" t="s">
        <v>1654</v>
      </c>
      <c r="D7" s="3"/>
      <c r="E7" s="3">
        <v>13</v>
      </c>
      <c r="F7" s="3">
        <f>F6-E7</f>
        <v>10</v>
      </c>
      <c r="G7" s="3">
        <v>5742</v>
      </c>
      <c r="H7" s="5" t="s">
        <v>1395</v>
      </c>
    </row>
    <row r="8" spans="1:8" ht="21" x14ac:dyDescent="0.7">
      <c r="A8" s="2">
        <v>7</v>
      </c>
      <c r="B8" s="8" t="s">
        <v>27</v>
      </c>
      <c r="C8" s="10" t="s">
        <v>1708</v>
      </c>
      <c r="D8" s="3"/>
      <c r="E8" s="3">
        <v>7</v>
      </c>
      <c r="F8" s="3">
        <f>F7-E8</f>
        <v>3</v>
      </c>
      <c r="G8" s="3">
        <v>5849</v>
      </c>
      <c r="H8" s="5" t="s">
        <v>1711</v>
      </c>
    </row>
    <row r="9" spans="1:8" ht="21" x14ac:dyDescent="0.7">
      <c r="A9" s="2">
        <v>8</v>
      </c>
      <c r="B9" s="8" t="s">
        <v>27</v>
      </c>
      <c r="C9" s="10" t="s">
        <v>1790</v>
      </c>
      <c r="D9" s="3"/>
      <c r="E9" s="3">
        <v>3</v>
      </c>
      <c r="F9" s="3">
        <f>F8-E9</f>
        <v>0</v>
      </c>
      <c r="G9" s="3">
        <v>6020</v>
      </c>
      <c r="H9" s="5" t="s">
        <v>1794</v>
      </c>
    </row>
    <row r="10" spans="1:8" ht="21" x14ac:dyDescent="0.7">
      <c r="A10" s="2">
        <v>9</v>
      </c>
      <c r="B10" s="8" t="s">
        <v>27</v>
      </c>
      <c r="C10" s="10" t="s">
        <v>1849</v>
      </c>
      <c r="D10" s="3">
        <v>32</v>
      </c>
      <c r="E10" s="3"/>
      <c r="F10" s="3">
        <v>32</v>
      </c>
      <c r="G10" s="3"/>
      <c r="H10" s="25" t="s">
        <v>1850</v>
      </c>
    </row>
    <row r="11" spans="1:8" ht="21" x14ac:dyDescent="0.7">
      <c r="A11" s="2">
        <v>10</v>
      </c>
      <c r="B11" s="8" t="s">
        <v>27</v>
      </c>
      <c r="C11" s="10" t="s">
        <v>1862</v>
      </c>
      <c r="D11" s="3"/>
      <c r="E11" s="3">
        <v>7</v>
      </c>
      <c r="F11" s="3">
        <f t="shared" ref="F11:F16" si="0">F10-E11</f>
        <v>25</v>
      </c>
      <c r="G11" s="3">
        <v>6087</v>
      </c>
      <c r="H11" s="5" t="s">
        <v>1183</v>
      </c>
    </row>
    <row r="12" spans="1:8" ht="21" x14ac:dyDescent="0.7">
      <c r="A12" s="2">
        <v>11</v>
      </c>
      <c r="B12" s="8" t="s">
        <v>27</v>
      </c>
      <c r="C12" s="10" t="s">
        <v>1865</v>
      </c>
      <c r="D12" s="3"/>
      <c r="E12" s="3">
        <v>1</v>
      </c>
      <c r="F12" s="3">
        <f t="shared" si="0"/>
        <v>24</v>
      </c>
      <c r="G12" s="3" t="s">
        <v>1866</v>
      </c>
      <c r="H12" s="5" t="s">
        <v>52</v>
      </c>
    </row>
    <row r="13" spans="1:8" ht="21" x14ac:dyDescent="0.7">
      <c r="A13" s="2">
        <v>12</v>
      </c>
      <c r="B13" s="8" t="s">
        <v>27</v>
      </c>
      <c r="C13" s="10" t="s">
        <v>1873</v>
      </c>
      <c r="D13" s="3"/>
      <c r="E13" s="3">
        <v>1</v>
      </c>
      <c r="F13" s="3">
        <f t="shared" si="0"/>
        <v>23</v>
      </c>
      <c r="G13" s="3">
        <v>6104</v>
      </c>
      <c r="H13" s="5" t="s">
        <v>1097</v>
      </c>
    </row>
    <row r="14" spans="1:8" ht="21" x14ac:dyDescent="0.7">
      <c r="A14" s="2">
        <v>13</v>
      </c>
      <c r="B14" s="8" t="s">
        <v>27</v>
      </c>
      <c r="C14" s="10" t="s">
        <v>1877</v>
      </c>
      <c r="D14" s="3"/>
      <c r="E14" s="3">
        <v>15</v>
      </c>
      <c r="F14" s="3">
        <f t="shared" si="0"/>
        <v>8</v>
      </c>
      <c r="G14" s="3">
        <v>6112</v>
      </c>
      <c r="H14" s="5" t="s">
        <v>1395</v>
      </c>
    </row>
    <row r="15" spans="1:8" ht="21" x14ac:dyDescent="0.7">
      <c r="A15" s="2">
        <v>14</v>
      </c>
      <c r="B15" s="8" t="s">
        <v>27</v>
      </c>
      <c r="C15" s="10" t="s">
        <v>1901</v>
      </c>
      <c r="D15" s="3"/>
      <c r="E15" s="3">
        <v>5</v>
      </c>
      <c r="F15" s="3">
        <f t="shared" si="0"/>
        <v>3</v>
      </c>
      <c r="G15" s="3">
        <v>6172</v>
      </c>
      <c r="H15" s="5" t="s">
        <v>1291</v>
      </c>
    </row>
    <row r="16" spans="1:8" ht="21" x14ac:dyDescent="0.7">
      <c r="A16" s="2">
        <v>15</v>
      </c>
      <c r="B16" s="8" t="s">
        <v>27</v>
      </c>
      <c r="C16" s="10" t="s">
        <v>1907</v>
      </c>
      <c r="D16" s="3"/>
      <c r="E16" s="3">
        <v>3</v>
      </c>
      <c r="F16" s="3">
        <f t="shared" si="0"/>
        <v>0</v>
      </c>
      <c r="G16" s="3">
        <v>6187</v>
      </c>
      <c r="H16" s="5" t="s">
        <v>1291</v>
      </c>
    </row>
    <row r="17" spans="1:8" ht="21" x14ac:dyDescent="0.7">
      <c r="A17" s="2">
        <v>16</v>
      </c>
      <c r="B17" s="8" t="s">
        <v>27</v>
      </c>
      <c r="C17" s="10" t="s">
        <v>1934</v>
      </c>
      <c r="D17" s="3">
        <v>16</v>
      </c>
      <c r="E17" s="3"/>
      <c r="F17" s="3">
        <v>16</v>
      </c>
      <c r="G17" s="3"/>
      <c r="H17" s="25" t="s">
        <v>1936</v>
      </c>
    </row>
    <row r="18" spans="1:8" ht="21" x14ac:dyDescent="0.7">
      <c r="A18" s="2">
        <v>17</v>
      </c>
      <c r="B18" s="8" t="s">
        <v>27</v>
      </c>
      <c r="C18" s="10" t="s">
        <v>1943</v>
      </c>
      <c r="D18" s="3"/>
      <c r="E18" s="3">
        <v>1</v>
      </c>
      <c r="F18" s="3">
        <f>F17-E18</f>
        <v>15</v>
      </c>
      <c r="G18" s="3">
        <v>6233</v>
      </c>
      <c r="H18" s="5" t="s">
        <v>1620</v>
      </c>
    </row>
    <row r="19" spans="1:8" ht="21" x14ac:dyDescent="0.7">
      <c r="A19" s="2">
        <v>18</v>
      </c>
      <c r="B19" s="8" t="s">
        <v>27</v>
      </c>
      <c r="C19" s="10" t="s">
        <v>1945</v>
      </c>
      <c r="D19" s="3"/>
      <c r="E19" s="3">
        <v>5</v>
      </c>
      <c r="F19" s="3">
        <f>F18-E19</f>
        <v>10</v>
      </c>
      <c r="G19" s="3">
        <v>6238</v>
      </c>
      <c r="H19" s="5" t="s">
        <v>1711</v>
      </c>
    </row>
    <row r="20" spans="1:8" ht="21" x14ac:dyDescent="0.7">
      <c r="A20" s="2">
        <v>19</v>
      </c>
      <c r="B20" s="8" t="s">
        <v>27</v>
      </c>
      <c r="C20" s="10" t="s">
        <v>1945</v>
      </c>
      <c r="D20" s="3"/>
      <c r="E20" s="3">
        <v>10</v>
      </c>
      <c r="F20" s="3">
        <f>F19-E20</f>
        <v>0</v>
      </c>
      <c r="G20" s="3">
        <v>6239</v>
      </c>
      <c r="H20" s="5" t="s">
        <v>1183</v>
      </c>
    </row>
    <row r="21" spans="1:8" ht="21" x14ac:dyDescent="0.7">
      <c r="A21" s="2">
        <v>20</v>
      </c>
      <c r="B21" s="8" t="s">
        <v>27</v>
      </c>
      <c r="C21" s="10" t="s">
        <v>2080</v>
      </c>
      <c r="D21" s="3">
        <v>24</v>
      </c>
      <c r="E21" s="3"/>
      <c r="F21" s="3">
        <v>24</v>
      </c>
      <c r="G21" s="3"/>
      <c r="H21" s="19" t="s">
        <v>2081</v>
      </c>
    </row>
    <row r="22" spans="1:8" ht="21" x14ac:dyDescent="0.7">
      <c r="A22" s="2">
        <v>21</v>
      </c>
      <c r="B22" s="8" t="s">
        <v>27</v>
      </c>
      <c r="C22" s="10" t="s">
        <v>2095</v>
      </c>
      <c r="D22" s="3"/>
      <c r="E22" s="3">
        <v>17</v>
      </c>
      <c r="F22" s="3">
        <f>F21-E22</f>
        <v>7</v>
      </c>
      <c r="G22" s="3">
        <v>6366</v>
      </c>
      <c r="H22" s="5" t="s">
        <v>1395</v>
      </c>
    </row>
    <row r="23" spans="1:8" ht="21" x14ac:dyDescent="0.7">
      <c r="A23" s="2">
        <v>22</v>
      </c>
      <c r="B23" s="8" t="s">
        <v>27</v>
      </c>
      <c r="C23" s="10" t="s">
        <v>2090</v>
      </c>
      <c r="D23" s="3"/>
      <c r="E23" s="3">
        <v>3</v>
      </c>
      <c r="F23" s="3">
        <f>F22-E23</f>
        <v>4</v>
      </c>
      <c r="G23" s="3">
        <v>6365</v>
      </c>
      <c r="H23" s="5" t="s">
        <v>2096</v>
      </c>
    </row>
    <row r="24" spans="1:8" ht="21" x14ac:dyDescent="0.7">
      <c r="A24" s="2">
        <v>23</v>
      </c>
      <c r="B24" s="8" t="s">
        <v>27</v>
      </c>
      <c r="C24" s="10" t="s">
        <v>2176</v>
      </c>
      <c r="D24" s="3"/>
      <c r="E24" s="3">
        <v>4</v>
      </c>
      <c r="F24" s="3">
        <f>F23-E24</f>
        <v>0</v>
      </c>
      <c r="G24" s="3">
        <v>6478</v>
      </c>
      <c r="H24" s="5" t="s">
        <v>1450</v>
      </c>
    </row>
    <row r="25" spans="1:8" ht="21" x14ac:dyDescent="0.7">
      <c r="A25" s="2">
        <v>24</v>
      </c>
      <c r="B25" s="8" t="s">
        <v>27</v>
      </c>
      <c r="C25" s="10"/>
      <c r="D25" s="3"/>
      <c r="E25" s="3"/>
      <c r="F25" s="3"/>
      <c r="G25" s="3"/>
      <c r="H25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H6"/>
  <sheetViews>
    <sheetView rightToLeft="1" workbookViewId="0">
      <selection activeCell="F3" sqref="F3"/>
    </sheetView>
  </sheetViews>
  <sheetFormatPr defaultRowHeight="14.4" x14ac:dyDescent="0.3"/>
  <cols>
    <col min="2" max="2" width="11.44140625" bestFit="1" customWidth="1"/>
    <col min="7" max="7" width="11.886718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28</v>
      </c>
      <c r="C2" s="10" t="s">
        <v>74</v>
      </c>
      <c r="D2" s="3"/>
      <c r="E2" s="3"/>
      <c r="F2" s="3">
        <v>4</v>
      </c>
      <c r="G2" s="3"/>
      <c r="H2" s="5"/>
    </row>
    <row r="3" spans="1:8" ht="21" x14ac:dyDescent="0.7">
      <c r="A3" s="2">
        <v>2</v>
      </c>
      <c r="B3" s="8"/>
      <c r="C3" s="10"/>
      <c r="D3" s="3"/>
      <c r="E3" s="3"/>
      <c r="F3" s="3"/>
      <c r="G3" s="3"/>
      <c r="H3" s="5"/>
    </row>
    <row r="4" spans="1:8" ht="21" x14ac:dyDescent="0.7">
      <c r="A4" s="2"/>
      <c r="B4" s="8"/>
      <c r="C4" s="10"/>
      <c r="D4" s="3"/>
      <c r="E4" s="3"/>
      <c r="F4" s="3"/>
      <c r="G4" s="3"/>
      <c r="H4" s="5"/>
    </row>
    <row r="5" spans="1:8" ht="21" x14ac:dyDescent="0.7">
      <c r="A5" s="2"/>
      <c r="B5" s="8"/>
      <c r="C5" s="10"/>
      <c r="D5" s="3"/>
      <c r="E5" s="3"/>
      <c r="F5" s="3"/>
      <c r="G5" s="3"/>
      <c r="H5" s="5"/>
    </row>
    <row r="6" spans="1:8" ht="21" x14ac:dyDescent="0.7">
      <c r="A6" s="2"/>
      <c r="B6" s="8"/>
      <c r="C6" s="10"/>
      <c r="D6" s="3"/>
      <c r="E6" s="3"/>
      <c r="F6" s="3"/>
      <c r="G6" s="3"/>
      <c r="H6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6" tint="0.39997558519241921"/>
  </sheetPr>
  <dimension ref="A1:I35"/>
  <sheetViews>
    <sheetView rightToLeft="1" zoomScale="130" zoomScaleNormal="130" workbookViewId="0">
      <pane ySplit="1" topLeftCell="A27" activePane="bottomLeft" state="frozen"/>
      <selection pane="bottomLeft" activeCell="G34" sqref="G34"/>
    </sheetView>
  </sheetViews>
  <sheetFormatPr defaultRowHeight="14.4" x14ac:dyDescent="0.3"/>
  <cols>
    <col min="2" max="2" width="11.88671875" bestFit="1" customWidth="1"/>
    <col min="3" max="3" width="11.33203125" bestFit="1" customWidth="1"/>
    <col min="8" max="8" width="18.44140625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1" x14ac:dyDescent="0.7">
      <c r="A2" s="2">
        <v>1</v>
      </c>
      <c r="B2" s="8" t="s">
        <v>29</v>
      </c>
      <c r="C2" s="10" t="s">
        <v>75</v>
      </c>
      <c r="D2" s="3"/>
      <c r="E2" s="3">
        <v>1</v>
      </c>
      <c r="F2" s="3">
        <v>130</v>
      </c>
      <c r="G2" s="3">
        <v>3312</v>
      </c>
      <c r="H2" s="5" t="s">
        <v>76</v>
      </c>
    </row>
    <row r="3" spans="1:9" ht="20.25" customHeight="1" x14ac:dyDescent="0.3">
      <c r="A3" s="2">
        <v>2</v>
      </c>
      <c r="B3" s="8"/>
      <c r="C3" s="10"/>
      <c r="D3" s="3"/>
      <c r="E3" s="3">
        <v>40</v>
      </c>
      <c r="F3" s="3">
        <f>F2+E3</f>
        <v>170</v>
      </c>
      <c r="G3" s="46" t="s">
        <v>194</v>
      </c>
      <c r="H3" s="47"/>
    </row>
    <row r="4" spans="1:9" ht="21" x14ac:dyDescent="0.7">
      <c r="A4" s="2">
        <v>3</v>
      </c>
      <c r="B4" s="8" t="s">
        <v>29</v>
      </c>
      <c r="C4" s="10" t="s">
        <v>295</v>
      </c>
      <c r="D4" s="3"/>
      <c r="E4" s="3">
        <v>5</v>
      </c>
      <c r="F4" s="3">
        <f t="shared" ref="F4:F9" si="0">F3-E4</f>
        <v>165</v>
      </c>
      <c r="G4" s="3">
        <v>3912</v>
      </c>
      <c r="H4" s="5" t="s">
        <v>296</v>
      </c>
    </row>
    <row r="5" spans="1:9" ht="21" x14ac:dyDescent="0.7">
      <c r="A5" s="2">
        <v>4</v>
      </c>
      <c r="B5" s="8" t="s">
        <v>29</v>
      </c>
      <c r="C5" s="10" t="s">
        <v>803</v>
      </c>
      <c r="D5" s="3"/>
      <c r="E5" s="3">
        <v>2</v>
      </c>
      <c r="F5" s="3">
        <f t="shared" si="0"/>
        <v>163</v>
      </c>
      <c r="G5" s="3" t="s">
        <v>804</v>
      </c>
      <c r="H5" s="5" t="s">
        <v>49</v>
      </c>
    </row>
    <row r="6" spans="1:9" ht="21" x14ac:dyDescent="0.7">
      <c r="A6" s="2">
        <v>5</v>
      </c>
      <c r="B6" s="8" t="s">
        <v>29</v>
      </c>
      <c r="C6" s="10" t="s">
        <v>467</v>
      </c>
      <c r="D6" s="3"/>
      <c r="E6" s="3">
        <v>1</v>
      </c>
      <c r="F6" s="3">
        <f t="shared" si="0"/>
        <v>162</v>
      </c>
      <c r="G6" s="3" t="s">
        <v>468</v>
      </c>
      <c r="H6" s="5" t="s">
        <v>49</v>
      </c>
    </row>
    <row r="7" spans="1:9" ht="21" x14ac:dyDescent="0.7">
      <c r="A7" s="2">
        <v>6</v>
      </c>
      <c r="B7" s="8" t="s">
        <v>29</v>
      </c>
      <c r="C7" s="10" t="s">
        <v>1122</v>
      </c>
      <c r="D7" s="3"/>
      <c r="E7" s="3">
        <v>18</v>
      </c>
      <c r="F7" s="3">
        <f t="shared" si="0"/>
        <v>144</v>
      </c>
      <c r="G7" s="3">
        <v>5086</v>
      </c>
      <c r="H7" s="5" t="s">
        <v>296</v>
      </c>
    </row>
    <row r="8" spans="1:9" ht="21" x14ac:dyDescent="0.7">
      <c r="A8" s="2">
        <v>7</v>
      </c>
      <c r="B8" s="8" t="s">
        <v>29</v>
      </c>
      <c r="C8" s="10" t="s">
        <v>1122</v>
      </c>
      <c r="D8" s="3"/>
      <c r="E8" s="3">
        <v>5</v>
      </c>
      <c r="F8" s="3">
        <f t="shared" si="0"/>
        <v>139</v>
      </c>
      <c r="G8" s="3">
        <v>5085</v>
      </c>
      <c r="H8" s="5" t="s">
        <v>296</v>
      </c>
    </row>
    <row r="9" spans="1:9" ht="21" x14ac:dyDescent="0.7">
      <c r="A9" s="2">
        <v>8</v>
      </c>
      <c r="B9" s="8" t="s">
        <v>29</v>
      </c>
      <c r="C9" s="10" t="s">
        <v>1300</v>
      </c>
      <c r="D9" s="3"/>
      <c r="E9" s="3">
        <v>2</v>
      </c>
      <c r="F9" s="3">
        <f t="shared" si="0"/>
        <v>137</v>
      </c>
      <c r="G9" s="3">
        <v>5295</v>
      </c>
      <c r="H9" s="5" t="s">
        <v>296</v>
      </c>
    </row>
    <row r="10" spans="1:9" ht="21" x14ac:dyDescent="0.7">
      <c r="A10" s="2">
        <v>9</v>
      </c>
      <c r="B10" s="8" t="s">
        <v>29</v>
      </c>
      <c r="C10" s="10" t="s">
        <v>1479</v>
      </c>
      <c r="D10" s="3"/>
      <c r="E10" s="3">
        <v>1</v>
      </c>
      <c r="F10" s="3">
        <f>F9-E10</f>
        <v>136</v>
      </c>
      <c r="G10" s="3">
        <v>5485</v>
      </c>
      <c r="H10" s="5" t="s">
        <v>296</v>
      </c>
      <c r="I10" t="s">
        <v>2379</v>
      </c>
    </row>
    <row r="11" spans="1:9" ht="21.75" customHeight="1" x14ac:dyDescent="0.3">
      <c r="A11" s="2">
        <v>10</v>
      </c>
      <c r="B11" s="8" t="s">
        <v>29</v>
      </c>
      <c r="C11" s="10" t="s">
        <v>2216</v>
      </c>
      <c r="D11" s="3">
        <v>84</v>
      </c>
      <c r="E11" s="3"/>
      <c r="F11" s="3">
        <f>F10+D11</f>
        <v>220</v>
      </c>
      <c r="G11" s="44" t="s">
        <v>2218</v>
      </c>
      <c r="H11" s="45"/>
    </row>
    <row r="12" spans="1:9" ht="21" x14ac:dyDescent="0.7">
      <c r="A12" s="2">
        <v>11</v>
      </c>
      <c r="B12" s="8" t="s">
        <v>29</v>
      </c>
      <c r="C12" s="10" t="s">
        <v>2223</v>
      </c>
      <c r="D12" s="3"/>
      <c r="E12" s="3">
        <v>84</v>
      </c>
      <c r="F12" s="3">
        <f>F11-E12</f>
        <v>136</v>
      </c>
      <c r="G12" s="3">
        <v>6595</v>
      </c>
      <c r="H12" s="5" t="s">
        <v>1395</v>
      </c>
    </row>
    <row r="13" spans="1:9" ht="21" customHeight="1" x14ac:dyDescent="0.3">
      <c r="A13" s="2">
        <v>12</v>
      </c>
      <c r="B13" s="8" t="s">
        <v>29</v>
      </c>
      <c r="C13" s="10" t="s">
        <v>2358</v>
      </c>
      <c r="D13" s="3">
        <v>60</v>
      </c>
      <c r="E13" s="3"/>
      <c r="F13" s="3">
        <v>60</v>
      </c>
      <c r="G13" s="44" t="s">
        <v>2360</v>
      </c>
      <c r="H13" s="45"/>
    </row>
    <row r="14" spans="1:9" ht="21" x14ac:dyDescent="0.7">
      <c r="A14" s="2">
        <v>13</v>
      </c>
      <c r="B14" s="8" t="s">
        <v>29</v>
      </c>
      <c r="C14" s="10" t="s">
        <v>2362</v>
      </c>
      <c r="D14" s="3"/>
      <c r="E14" s="3">
        <v>30</v>
      </c>
      <c r="F14" s="3">
        <f>F13-E14</f>
        <v>30</v>
      </c>
      <c r="G14" s="3">
        <v>6829</v>
      </c>
      <c r="H14" s="5" t="s">
        <v>2322</v>
      </c>
    </row>
    <row r="15" spans="1:9" ht="21" customHeight="1" x14ac:dyDescent="0.3">
      <c r="A15" s="2">
        <v>14</v>
      </c>
      <c r="B15" s="8" t="s">
        <v>29</v>
      </c>
      <c r="C15" s="10" t="s">
        <v>2376</v>
      </c>
      <c r="D15" s="3">
        <v>84</v>
      </c>
      <c r="E15" s="3"/>
      <c r="F15" s="3">
        <f>F14+D15</f>
        <v>114</v>
      </c>
      <c r="G15" s="44" t="s">
        <v>2378</v>
      </c>
      <c r="H15" s="45"/>
    </row>
    <row r="16" spans="1:9" ht="21" x14ac:dyDescent="0.7">
      <c r="A16" s="2">
        <v>15</v>
      </c>
      <c r="B16" s="8" t="s">
        <v>29</v>
      </c>
      <c r="C16" s="10" t="s">
        <v>2382</v>
      </c>
      <c r="D16" s="3"/>
      <c r="E16" s="3">
        <v>3</v>
      </c>
      <c r="F16" s="3">
        <f>F15-E16</f>
        <v>111</v>
      </c>
      <c r="G16" s="3" t="s">
        <v>2383</v>
      </c>
      <c r="H16" s="5" t="s">
        <v>55</v>
      </c>
    </row>
    <row r="17" spans="1:8" ht="21" x14ac:dyDescent="0.7">
      <c r="A17" s="2">
        <v>16</v>
      </c>
      <c r="B17" s="8" t="s">
        <v>29</v>
      </c>
      <c r="C17" s="10" t="s">
        <v>2376</v>
      </c>
      <c r="D17" s="3"/>
      <c r="E17" s="3">
        <v>30</v>
      </c>
      <c r="F17" s="3">
        <f>F16-E17</f>
        <v>81</v>
      </c>
      <c r="G17" s="3">
        <v>6855</v>
      </c>
      <c r="H17" s="5" t="s">
        <v>2322</v>
      </c>
    </row>
    <row r="18" spans="1:8" ht="21" x14ac:dyDescent="0.7">
      <c r="A18" s="2">
        <v>17</v>
      </c>
      <c r="B18" s="8" t="s">
        <v>29</v>
      </c>
      <c r="C18" s="10" t="s">
        <v>2396</v>
      </c>
      <c r="D18" s="3"/>
      <c r="E18" s="3">
        <v>74</v>
      </c>
      <c r="F18" s="3">
        <f>F17-E18</f>
        <v>7</v>
      </c>
      <c r="G18" s="3">
        <v>6883</v>
      </c>
      <c r="H18" s="5" t="s">
        <v>80</v>
      </c>
    </row>
    <row r="19" spans="1:8" ht="21" x14ac:dyDescent="0.7">
      <c r="A19" s="2">
        <v>18</v>
      </c>
      <c r="B19" s="8" t="s">
        <v>29</v>
      </c>
      <c r="C19" s="10" t="s">
        <v>2403</v>
      </c>
      <c r="D19" s="3"/>
      <c r="E19" s="3">
        <v>3</v>
      </c>
      <c r="F19" s="3">
        <f>F18-E19</f>
        <v>4</v>
      </c>
      <c r="G19" s="3">
        <v>6892</v>
      </c>
      <c r="H19" s="5" t="s">
        <v>2404</v>
      </c>
    </row>
    <row r="20" spans="1:8" ht="21" customHeight="1" x14ac:dyDescent="0.3">
      <c r="A20" s="2">
        <v>19</v>
      </c>
      <c r="B20" s="8" t="s">
        <v>29</v>
      </c>
      <c r="C20" s="10" t="s">
        <v>2425</v>
      </c>
      <c r="D20" s="3">
        <v>60</v>
      </c>
      <c r="E20" s="3"/>
      <c r="F20" s="3">
        <f>F19+D20</f>
        <v>64</v>
      </c>
      <c r="G20" s="44" t="s">
        <v>2427</v>
      </c>
      <c r="H20" s="45"/>
    </row>
    <row r="21" spans="1:8" ht="21" x14ac:dyDescent="0.7">
      <c r="A21" s="2">
        <v>20</v>
      </c>
      <c r="B21" s="8" t="s">
        <v>29</v>
      </c>
      <c r="C21" s="10" t="s">
        <v>2439</v>
      </c>
      <c r="D21" s="3"/>
      <c r="E21" s="3">
        <v>30</v>
      </c>
      <c r="F21" s="3">
        <f t="shared" ref="F21:F26" si="1">F20-E21</f>
        <v>34</v>
      </c>
      <c r="G21" s="3" t="s">
        <v>2442</v>
      </c>
      <c r="H21" s="5" t="s">
        <v>2443</v>
      </c>
    </row>
    <row r="22" spans="1:8" ht="21" x14ac:dyDescent="0.7">
      <c r="A22" s="2">
        <v>21</v>
      </c>
      <c r="B22" s="8" t="s">
        <v>29</v>
      </c>
      <c r="C22" s="10" t="s">
        <v>2462</v>
      </c>
      <c r="D22" s="3"/>
      <c r="E22" s="3">
        <v>1</v>
      </c>
      <c r="F22" s="3">
        <f t="shared" si="1"/>
        <v>33</v>
      </c>
      <c r="G22" s="3" t="s">
        <v>2463</v>
      </c>
      <c r="H22" s="5" t="s">
        <v>55</v>
      </c>
    </row>
    <row r="23" spans="1:8" ht="21" x14ac:dyDescent="0.7">
      <c r="A23" s="2">
        <v>22</v>
      </c>
      <c r="B23" s="8" t="s">
        <v>29</v>
      </c>
      <c r="C23" s="10" t="s">
        <v>2468</v>
      </c>
      <c r="D23" s="3"/>
      <c r="E23" s="3">
        <v>6</v>
      </c>
      <c r="F23" s="3">
        <f t="shared" si="1"/>
        <v>27</v>
      </c>
      <c r="G23" s="3">
        <v>7000</v>
      </c>
      <c r="H23" s="5" t="s">
        <v>2404</v>
      </c>
    </row>
    <row r="24" spans="1:8" ht="21" x14ac:dyDescent="0.7">
      <c r="A24" s="2">
        <v>23</v>
      </c>
      <c r="B24" s="8" t="s">
        <v>29</v>
      </c>
      <c r="C24" s="10" t="s">
        <v>2477</v>
      </c>
      <c r="D24" s="3"/>
      <c r="E24" s="3">
        <v>5</v>
      </c>
      <c r="F24" s="3">
        <f t="shared" si="1"/>
        <v>22</v>
      </c>
      <c r="G24" s="3">
        <v>7009</v>
      </c>
      <c r="H24" s="5" t="s">
        <v>2404</v>
      </c>
    </row>
    <row r="25" spans="1:8" ht="21" x14ac:dyDescent="0.7">
      <c r="A25" s="2">
        <v>24</v>
      </c>
      <c r="B25" s="8" t="s">
        <v>29</v>
      </c>
      <c r="C25" s="10" t="s">
        <v>2497</v>
      </c>
      <c r="D25" s="3"/>
      <c r="E25" s="3">
        <v>15</v>
      </c>
      <c r="F25" s="3">
        <f t="shared" si="1"/>
        <v>7</v>
      </c>
      <c r="G25" s="3">
        <v>7034</v>
      </c>
      <c r="H25" s="5" t="s">
        <v>2404</v>
      </c>
    </row>
    <row r="26" spans="1:8" ht="21" x14ac:dyDescent="0.7">
      <c r="A26" s="2">
        <v>25</v>
      </c>
      <c r="B26" s="8" t="s">
        <v>29</v>
      </c>
      <c r="C26" s="10" t="s">
        <v>2501</v>
      </c>
      <c r="D26" s="3"/>
      <c r="E26" s="3">
        <v>7</v>
      </c>
      <c r="F26" s="3">
        <f t="shared" si="1"/>
        <v>0</v>
      </c>
      <c r="G26" s="3">
        <v>7044</v>
      </c>
      <c r="H26" s="5" t="s">
        <v>2322</v>
      </c>
    </row>
    <row r="27" spans="1:8" ht="21" customHeight="1" x14ac:dyDescent="0.3">
      <c r="A27" s="2">
        <v>26</v>
      </c>
      <c r="B27" s="8" t="s">
        <v>29</v>
      </c>
      <c r="C27" s="10" t="s">
        <v>2529</v>
      </c>
      <c r="D27" s="3">
        <v>48</v>
      </c>
      <c r="E27" s="3"/>
      <c r="F27" s="3">
        <v>48</v>
      </c>
      <c r="G27" s="46" t="s">
        <v>2530</v>
      </c>
      <c r="H27" s="47"/>
    </row>
    <row r="28" spans="1:8" ht="21" x14ac:dyDescent="0.7">
      <c r="A28" s="2">
        <v>27</v>
      </c>
      <c r="B28" s="8" t="s">
        <v>29</v>
      </c>
      <c r="C28" s="10" t="s">
        <v>2534</v>
      </c>
      <c r="D28" s="3"/>
      <c r="E28" s="3">
        <v>48</v>
      </c>
      <c r="F28" s="3">
        <f>F27-E28</f>
        <v>0</v>
      </c>
      <c r="G28" s="3">
        <v>7116</v>
      </c>
      <c r="H28" s="5" t="s">
        <v>2322</v>
      </c>
    </row>
    <row r="29" spans="1:8" ht="21" customHeight="1" x14ac:dyDescent="0.3">
      <c r="A29" s="2">
        <v>28</v>
      </c>
      <c r="B29" s="8" t="s">
        <v>29</v>
      </c>
      <c r="C29" s="10" t="s">
        <v>2556</v>
      </c>
      <c r="D29" s="3">
        <v>36</v>
      </c>
      <c r="E29" s="3"/>
      <c r="F29" s="3">
        <v>36</v>
      </c>
      <c r="G29" s="46" t="s">
        <v>2557</v>
      </c>
      <c r="H29" s="47"/>
    </row>
    <row r="30" spans="1:8" ht="21" x14ac:dyDescent="0.7">
      <c r="A30" s="2">
        <v>29</v>
      </c>
      <c r="B30" s="8" t="s">
        <v>29</v>
      </c>
      <c r="C30" s="10" t="s">
        <v>2565</v>
      </c>
      <c r="D30" s="3"/>
      <c r="E30" s="3">
        <v>5</v>
      </c>
      <c r="F30" s="3">
        <f>F29-E30</f>
        <v>31</v>
      </c>
      <c r="G30" s="3">
        <v>7183</v>
      </c>
      <c r="H30" s="5" t="s">
        <v>1545</v>
      </c>
    </row>
    <row r="31" spans="1:8" ht="21" x14ac:dyDescent="0.7">
      <c r="A31" s="2">
        <v>30</v>
      </c>
      <c r="B31" s="8" t="s">
        <v>29</v>
      </c>
      <c r="C31" s="10" t="s">
        <v>2568</v>
      </c>
      <c r="D31" s="3"/>
      <c r="E31" s="3">
        <v>10</v>
      </c>
      <c r="F31" s="3">
        <f>F30-E31</f>
        <v>21</v>
      </c>
      <c r="G31" s="3">
        <v>7191</v>
      </c>
      <c r="H31" s="5" t="s">
        <v>2404</v>
      </c>
    </row>
    <row r="32" spans="1:8" ht="21" x14ac:dyDescent="0.7">
      <c r="A32" s="2">
        <v>31</v>
      </c>
      <c r="B32" s="8" t="s">
        <v>29</v>
      </c>
      <c r="C32" s="10" t="s">
        <v>2643</v>
      </c>
      <c r="D32" s="3"/>
      <c r="E32" s="3">
        <v>21</v>
      </c>
      <c r="F32" s="3">
        <f>F31-E32</f>
        <v>0</v>
      </c>
      <c r="G32" s="3">
        <v>7299</v>
      </c>
      <c r="H32" s="5" t="s">
        <v>2322</v>
      </c>
    </row>
    <row r="33" spans="1:8" ht="19.2" customHeight="1" x14ac:dyDescent="0.3">
      <c r="A33" s="2">
        <v>32</v>
      </c>
      <c r="B33" s="8" t="s">
        <v>29</v>
      </c>
      <c r="C33" s="10" t="s">
        <v>2675</v>
      </c>
      <c r="D33" s="3">
        <v>36</v>
      </c>
      <c r="E33" s="3"/>
      <c r="F33" s="3">
        <v>36</v>
      </c>
      <c r="G33" s="46" t="s">
        <v>2676</v>
      </c>
      <c r="H33" s="47"/>
    </row>
    <row r="34" spans="1:8" ht="21" x14ac:dyDescent="0.7">
      <c r="A34" s="2">
        <v>33</v>
      </c>
      <c r="B34" s="8" t="s">
        <v>29</v>
      </c>
      <c r="C34" s="10"/>
      <c r="D34" s="3"/>
      <c r="E34" s="3"/>
      <c r="F34" s="3"/>
      <c r="G34" s="3"/>
      <c r="H34" s="5"/>
    </row>
    <row r="35" spans="1:8" ht="21" x14ac:dyDescent="0.7">
      <c r="A35" s="2">
        <v>34</v>
      </c>
      <c r="B35" s="8" t="s">
        <v>29</v>
      </c>
      <c r="C35" s="10"/>
      <c r="D35" s="3"/>
      <c r="E35" s="3"/>
      <c r="F35" s="3"/>
      <c r="G35" s="3"/>
      <c r="H35" s="5"/>
    </row>
  </sheetData>
  <mergeCells count="8">
    <mergeCell ref="G33:H33"/>
    <mergeCell ref="G29:H29"/>
    <mergeCell ref="G27:H27"/>
    <mergeCell ref="G3:H3"/>
    <mergeCell ref="G11:H11"/>
    <mergeCell ref="G13:H13"/>
    <mergeCell ref="G15:H15"/>
    <mergeCell ref="G20:H20"/>
  </mergeCells>
  <phoneticPr fontId="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H6"/>
  <sheetViews>
    <sheetView rightToLeft="1" workbookViewId="0"/>
  </sheetViews>
  <sheetFormatPr defaultRowHeight="14.4" x14ac:dyDescent="0.3"/>
  <cols>
    <col min="2" max="2" width="11.4414062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30</v>
      </c>
      <c r="C2" s="10" t="s">
        <v>77</v>
      </c>
      <c r="D2" s="3">
        <v>12</v>
      </c>
      <c r="E2" s="3"/>
      <c r="F2" s="3">
        <v>12</v>
      </c>
      <c r="G2" s="3"/>
      <c r="H2" s="5"/>
    </row>
    <row r="3" spans="1:8" ht="21" x14ac:dyDescent="0.7">
      <c r="A3" s="2">
        <v>2</v>
      </c>
      <c r="B3" s="8"/>
      <c r="C3" s="10"/>
      <c r="D3" s="3"/>
      <c r="E3" s="3"/>
      <c r="F3" s="3"/>
      <c r="G3" s="3"/>
      <c r="H3" s="5"/>
    </row>
    <row r="4" spans="1:8" ht="21" x14ac:dyDescent="0.7">
      <c r="A4" s="2"/>
      <c r="B4" s="8"/>
      <c r="C4" s="10"/>
      <c r="D4" s="3"/>
      <c r="E4" s="3"/>
      <c r="F4" s="3"/>
      <c r="G4" s="3"/>
      <c r="H4" s="5"/>
    </row>
    <row r="5" spans="1:8" ht="21" x14ac:dyDescent="0.7">
      <c r="A5" s="2"/>
      <c r="B5" s="8"/>
      <c r="C5" s="10"/>
      <c r="D5" s="3"/>
      <c r="E5" s="3"/>
      <c r="F5" s="3"/>
      <c r="G5" s="3"/>
      <c r="H5" s="5"/>
    </row>
    <row r="6" spans="1:8" ht="21" x14ac:dyDescent="0.7">
      <c r="A6" s="2"/>
      <c r="B6" s="8"/>
      <c r="C6" s="10"/>
      <c r="D6" s="3"/>
      <c r="E6" s="3"/>
      <c r="F6" s="3"/>
      <c r="G6" s="3"/>
      <c r="H6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 tint="0.499984740745262"/>
  </sheetPr>
  <dimension ref="A1:M87"/>
  <sheetViews>
    <sheetView rightToLeft="1" zoomScale="130" zoomScaleNormal="130" workbookViewId="0">
      <pane ySplit="1" topLeftCell="A80" activePane="bottomLeft" state="frozen"/>
      <selection pane="bottomLeft" activeCell="H84" sqref="H84"/>
    </sheetView>
  </sheetViews>
  <sheetFormatPr defaultRowHeight="14.4" x14ac:dyDescent="0.3"/>
  <cols>
    <col min="2" max="2" width="10.44140625" bestFit="1" customWidth="1"/>
    <col min="3" max="3" width="10.88671875" bestFit="1" customWidth="1"/>
    <col min="7" max="7" width="11.88671875" bestFit="1" customWidth="1"/>
    <col min="8" max="8" width="25.5546875" bestFit="1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1" x14ac:dyDescent="0.7">
      <c r="A2" s="2">
        <v>1</v>
      </c>
      <c r="B2" s="8" t="s">
        <v>31</v>
      </c>
      <c r="C2" s="10" t="s">
        <v>77</v>
      </c>
      <c r="D2" s="3">
        <v>360</v>
      </c>
      <c r="E2" s="3"/>
      <c r="F2" s="3">
        <v>438</v>
      </c>
      <c r="G2" s="3"/>
      <c r="H2" s="5"/>
    </row>
    <row r="3" spans="1:9" ht="20.25" customHeight="1" x14ac:dyDescent="0.3">
      <c r="A3" s="2">
        <v>2</v>
      </c>
      <c r="B3" s="8" t="s">
        <v>31</v>
      </c>
      <c r="C3" s="10"/>
      <c r="D3" s="3"/>
      <c r="E3" s="3">
        <v>1</v>
      </c>
      <c r="F3" s="3">
        <f>F2-E3</f>
        <v>437</v>
      </c>
      <c r="G3" s="46" t="s">
        <v>194</v>
      </c>
      <c r="H3" s="47"/>
    </row>
    <row r="4" spans="1:9" ht="21" x14ac:dyDescent="0.7">
      <c r="A4" s="2">
        <v>3</v>
      </c>
      <c r="B4" s="8" t="s">
        <v>31</v>
      </c>
      <c r="C4" s="10" t="s">
        <v>372</v>
      </c>
      <c r="D4" s="3"/>
      <c r="E4" s="3">
        <v>1</v>
      </c>
      <c r="F4" s="3">
        <f>F3-E4</f>
        <v>436</v>
      </c>
      <c r="G4" s="3" t="s">
        <v>373</v>
      </c>
      <c r="H4" s="5" t="s">
        <v>185</v>
      </c>
    </row>
    <row r="5" spans="1:9" ht="21" x14ac:dyDescent="0.7">
      <c r="A5" s="2">
        <v>4</v>
      </c>
      <c r="B5" s="8" t="s">
        <v>31</v>
      </c>
      <c r="C5" s="10" t="s">
        <v>429</v>
      </c>
      <c r="D5" s="3"/>
      <c r="E5" s="3">
        <v>8</v>
      </c>
      <c r="F5" s="3">
        <f>F4-E5</f>
        <v>428</v>
      </c>
      <c r="G5" s="3" t="s">
        <v>430</v>
      </c>
      <c r="H5" s="5" t="s">
        <v>52</v>
      </c>
    </row>
    <row r="6" spans="1:9" ht="21" x14ac:dyDescent="0.7">
      <c r="A6" s="2">
        <v>5</v>
      </c>
      <c r="B6" s="8" t="s">
        <v>31</v>
      </c>
      <c r="C6" s="10" t="s">
        <v>477</v>
      </c>
      <c r="D6" s="3"/>
      <c r="E6" s="3">
        <v>2</v>
      </c>
      <c r="F6" s="3">
        <f>F5-E6</f>
        <v>426</v>
      </c>
      <c r="G6" s="3" t="s">
        <v>478</v>
      </c>
      <c r="H6" s="5" t="s">
        <v>52</v>
      </c>
    </row>
    <row r="7" spans="1:9" ht="20.25" customHeight="1" x14ac:dyDescent="0.3">
      <c r="A7" s="2">
        <v>6</v>
      </c>
      <c r="B7" s="8" t="s">
        <v>31</v>
      </c>
      <c r="C7" s="10" t="s">
        <v>495</v>
      </c>
      <c r="D7" s="3">
        <v>480</v>
      </c>
      <c r="E7" s="3"/>
      <c r="F7" s="3">
        <f>F6+D7</f>
        <v>906</v>
      </c>
      <c r="G7" s="46" t="s">
        <v>500</v>
      </c>
      <c r="H7" s="47"/>
    </row>
    <row r="8" spans="1:9" ht="21" x14ac:dyDescent="0.7">
      <c r="A8" s="2">
        <v>7</v>
      </c>
      <c r="B8" s="8" t="s">
        <v>31</v>
      </c>
      <c r="C8" s="10"/>
      <c r="D8" s="3"/>
      <c r="E8" s="3">
        <v>280</v>
      </c>
      <c r="F8" s="3">
        <f t="shared" ref="F8:F13" si="0">F7-E8</f>
        <v>626</v>
      </c>
      <c r="G8" s="3"/>
      <c r="H8" s="5" t="s">
        <v>646</v>
      </c>
    </row>
    <row r="9" spans="1:9" ht="21" x14ac:dyDescent="0.7">
      <c r="A9" s="2">
        <v>8</v>
      </c>
      <c r="B9" s="8" t="s">
        <v>31</v>
      </c>
      <c r="C9" s="10" t="s">
        <v>654</v>
      </c>
      <c r="D9" s="3"/>
      <c r="E9" s="3">
        <v>60</v>
      </c>
      <c r="F9" s="3">
        <f t="shared" si="0"/>
        <v>566</v>
      </c>
      <c r="G9" s="3"/>
      <c r="H9" s="5" t="s">
        <v>646</v>
      </c>
    </row>
    <row r="10" spans="1:9" ht="21" x14ac:dyDescent="0.7">
      <c r="A10" s="2">
        <v>9</v>
      </c>
      <c r="B10" s="8" t="s">
        <v>31</v>
      </c>
      <c r="C10" s="10" t="s">
        <v>662</v>
      </c>
      <c r="D10" s="3"/>
      <c r="E10" s="3">
        <v>280</v>
      </c>
      <c r="F10" s="3">
        <f t="shared" si="0"/>
        <v>286</v>
      </c>
      <c r="G10" s="3"/>
      <c r="H10" s="5" t="s">
        <v>646</v>
      </c>
    </row>
    <row r="11" spans="1:9" ht="21" x14ac:dyDescent="0.7">
      <c r="A11" s="2">
        <v>10</v>
      </c>
      <c r="B11" s="8" t="s">
        <v>31</v>
      </c>
      <c r="C11" s="10" t="s">
        <v>675</v>
      </c>
      <c r="D11" s="3"/>
      <c r="E11" s="3">
        <v>24</v>
      </c>
      <c r="F11" s="3">
        <f t="shared" si="0"/>
        <v>262</v>
      </c>
      <c r="G11" s="3"/>
      <c r="H11" s="5" t="s">
        <v>646</v>
      </c>
    </row>
    <row r="12" spans="1:9" ht="21" x14ac:dyDescent="0.7">
      <c r="A12" s="2">
        <v>11</v>
      </c>
      <c r="B12" s="8" t="s">
        <v>31</v>
      </c>
      <c r="C12" s="10" t="s">
        <v>689</v>
      </c>
      <c r="D12" s="3"/>
      <c r="E12" s="3">
        <v>42</v>
      </c>
      <c r="F12" s="3">
        <f t="shared" si="0"/>
        <v>220</v>
      </c>
      <c r="G12" s="3"/>
      <c r="H12" s="5" t="s">
        <v>646</v>
      </c>
    </row>
    <row r="13" spans="1:9" ht="21" x14ac:dyDescent="0.7">
      <c r="A13" s="2">
        <v>12</v>
      </c>
      <c r="B13" s="8" t="s">
        <v>31</v>
      </c>
      <c r="C13" s="10" t="s">
        <v>696</v>
      </c>
      <c r="D13" s="3"/>
      <c r="E13" s="3">
        <v>1</v>
      </c>
      <c r="F13" s="3">
        <f t="shared" si="0"/>
        <v>219</v>
      </c>
      <c r="G13" s="3" t="s">
        <v>697</v>
      </c>
      <c r="H13" s="5" t="s">
        <v>185</v>
      </c>
    </row>
    <row r="14" spans="1:9" ht="21" x14ac:dyDescent="0.7">
      <c r="A14" s="2">
        <v>13</v>
      </c>
      <c r="B14" s="8" t="s">
        <v>31</v>
      </c>
      <c r="C14" s="10" t="s">
        <v>727</v>
      </c>
      <c r="D14" s="3">
        <v>208</v>
      </c>
      <c r="E14" s="3"/>
      <c r="F14" s="3">
        <f>F13+D14</f>
        <v>427</v>
      </c>
      <c r="G14" s="3"/>
      <c r="H14" s="5" t="s">
        <v>646</v>
      </c>
      <c r="I14" t="s">
        <v>728</v>
      </c>
    </row>
    <row r="15" spans="1:9" ht="21" x14ac:dyDescent="0.7">
      <c r="A15" s="2">
        <v>14</v>
      </c>
      <c r="B15" s="8" t="s">
        <v>31</v>
      </c>
      <c r="C15" s="10" t="s">
        <v>776</v>
      </c>
      <c r="D15" s="3"/>
      <c r="E15" s="3">
        <v>2</v>
      </c>
      <c r="F15" s="3">
        <f>F14-E15</f>
        <v>425</v>
      </c>
      <c r="G15" s="3">
        <v>4583</v>
      </c>
      <c r="H15" s="5" t="s">
        <v>780</v>
      </c>
    </row>
    <row r="16" spans="1:9" ht="21" x14ac:dyDescent="0.7">
      <c r="A16" s="2">
        <v>15</v>
      </c>
      <c r="B16" s="8" t="s">
        <v>31</v>
      </c>
      <c r="C16" s="10" t="s">
        <v>800</v>
      </c>
      <c r="D16" s="3"/>
      <c r="E16" s="3">
        <v>1</v>
      </c>
      <c r="F16" s="3">
        <f>F15-E16</f>
        <v>424</v>
      </c>
      <c r="G16" s="3">
        <v>4614</v>
      </c>
      <c r="H16" s="5" t="s">
        <v>780</v>
      </c>
    </row>
    <row r="17" spans="1:8" ht="21" x14ac:dyDescent="0.7">
      <c r="A17" s="2">
        <v>16</v>
      </c>
      <c r="B17" s="8" t="s">
        <v>31</v>
      </c>
      <c r="C17" s="10" t="s">
        <v>819</v>
      </c>
      <c r="D17" s="3"/>
      <c r="E17" s="3">
        <v>1</v>
      </c>
      <c r="F17" s="3">
        <f>F16-E17</f>
        <v>423</v>
      </c>
      <c r="G17" s="3" t="s">
        <v>820</v>
      </c>
      <c r="H17" s="5" t="s">
        <v>780</v>
      </c>
    </row>
    <row r="18" spans="1:8" ht="21" x14ac:dyDescent="0.7">
      <c r="A18" s="2">
        <v>17</v>
      </c>
      <c r="B18" s="8" t="s">
        <v>31</v>
      </c>
      <c r="C18" s="10" t="s">
        <v>871</v>
      </c>
      <c r="D18" s="3"/>
      <c r="E18" s="3">
        <v>3</v>
      </c>
      <c r="F18" s="3">
        <f>F17-E18</f>
        <v>420</v>
      </c>
      <c r="G18" s="3">
        <v>4690</v>
      </c>
      <c r="H18" s="5" t="s">
        <v>872</v>
      </c>
    </row>
    <row r="19" spans="1:8" ht="21" x14ac:dyDescent="0.7">
      <c r="A19" s="2">
        <v>18</v>
      </c>
      <c r="B19" s="8" t="s">
        <v>31</v>
      </c>
      <c r="C19" s="10" t="s">
        <v>979</v>
      </c>
      <c r="D19" s="3"/>
      <c r="E19" s="3">
        <v>1</v>
      </c>
      <c r="F19" s="3">
        <f>F18-E19</f>
        <v>419</v>
      </c>
      <c r="G19" s="3" t="s">
        <v>980</v>
      </c>
      <c r="H19" s="5" t="s">
        <v>185</v>
      </c>
    </row>
    <row r="20" spans="1:8" ht="20.25" customHeight="1" x14ac:dyDescent="0.3">
      <c r="A20" s="2">
        <v>19</v>
      </c>
      <c r="B20" s="8" t="s">
        <v>31</v>
      </c>
      <c r="C20" s="10" t="s">
        <v>999</v>
      </c>
      <c r="D20" s="3">
        <v>120</v>
      </c>
      <c r="E20" s="3"/>
      <c r="F20" s="3">
        <f>F19+D20</f>
        <v>539</v>
      </c>
      <c r="G20" s="44" t="s">
        <v>1002</v>
      </c>
      <c r="H20" s="45"/>
    </row>
    <row r="21" spans="1:8" ht="21" x14ac:dyDescent="0.7">
      <c r="A21" s="2">
        <v>20</v>
      </c>
      <c r="B21" s="8" t="s">
        <v>31</v>
      </c>
      <c r="C21" s="10" t="s">
        <v>1084</v>
      </c>
      <c r="D21" s="3"/>
      <c r="E21" s="3">
        <v>1</v>
      </c>
      <c r="F21" s="3">
        <f t="shared" ref="F21:F26" si="1">F20-E21</f>
        <v>538</v>
      </c>
      <c r="G21" s="3">
        <v>5014</v>
      </c>
      <c r="H21" s="5" t="s">
        <v>780</v>
      </c>
    </row>
    <row r="22" spans="1:8" ht="21" x14ac:dyDescent="0.7">
      <c r="A22" s="2">
        <v>21</v>
      </c>
      <c r="B22" s="8" t="s">
        <v>31</v>
      </c>
      <c r="C22" s="10" t="s">
        <v>1093</v>
      </c>
      <c r="D22" s="3"/>
      <c r="E22" s="3">
        <v>14</v>
      </c>
      <c r="F22" s="3">
        <f t="shared" si="1"/>
        <v>524</v>
      </c>
      <c r="G22" s="3" t="s">
        <v>1094</v>
      </c>
      <c r="H22" s="5" t="s">
        <v>1095</v>
      </c>
    </row>
    <row r="23" spans="1:8" ht="21" x14ac:dyDescent="0.7">
      <c r="A23" s="2">
        <v>22</v>
      </c>
      <c r="B23" s="8" t="s">
        <v>31</v>
      </c>
      <c r="C23" s="10" t="s">
        <v>1184</v>
      </c>
      <c r="D23" s="3"/>
      <c r="E23" s="3">
        <v>2</v>
      </c>
      <c r="F23" s="3">
        <f t="shared" si="1"/>
        <v>522</v>
      </c>
      <c r="G23" s="3"/>
      <c r="H23" s="5" t="s">
        <v>1189</v>
      </c>
    </row>
    <row r="24" spans="1:8" ht="21" x14ac:dyDescent="0.7">
      <c r="A24" s="2">
        <v>23</v>
      </c>
      <c r="B24" s="8" t="s">
        <v>31</v>
      </c>
      <c r="C24" s="10" t="s">
        <v>1266</v>
      </c>
      <c r="D24" s="3"/>
      <c r="E24" s="3">
        <v>1</v>
      </c>
      <c r="F24" s="3">
        <f t="shared" si="1"/>
        <v>521</v>
      </c>
      <c r="G24" s="3" t="s">
        <v>1267</v>
      </c>
      <c r="H24" s="5" t="s">
        <v>52</v>
      </c>
    </row>
    <row r="25" spans="1:8" ht="21" x14ac:dyDescent="0.7">
      <c r="A25" s="2">
        <v>24</v>
      </c>
      <c r="B25" s="8" t="s">
        <v>31</v>
      </c>
      <c r="C25" s="10" t="s">
        <v>1275</v>
      </c>
      <c r="D25" s="3"/>
      <c r="E25" s="3">
        <v>1</v>
      </c>
      <c r="F25" s="3">
        <f t="shared" si="1"/>
        <v>520</v>
      </c>
      <c r="G25" s="3" t="s">
        <v>1276</v>
      </c>
      <c r="H25" s="5" t="s">
        <v>52</v>
      </c>
    </row>
    <row r="26" spans="1:8" ht="21" x14ac:dyDescent="0.7">
      <c r="A26" s="2">
        <v>25</v>
      </c>
      <c r="B26" s="8" t="s">
        <v>31</v>
      </c>
      <c r="C26" s="10" t="s">
        <v>1316</v>
      </c>
      <c r="D26" s="3"/>
      <c r="E26" s="3">
        <v>1</v>
      </c>
      <c r="F26" s="3">
        <f t="shared" si="1"/>
        <v>519</v>
      </c>
      <c r="G26" s="3" t="s">
        <v>774</v>
      </c>
      <c r="H26" s="5" t="s">
        <v>646</v>
      </c>
    </row>
    <row r="27" spans="1:8" ht="21" x14ac:dyDescent="0.7">
      <c r="A27" s="2">
        <v>26</v>
      </c>
      <c r="B27" s="8" t="s">
        <v>31</v>
      </c>
      <c r="C27" s="10" t="s">
        <v>1381</v>
      </c>
      <c r="D27" s="3"/>
      <c r="E27" s="3">
        <v>50</v>
      </c>
      <c r="F27" s="3">
        <f t="shared" ref="F27:F32" si="2">F26-E27</f>
        <v>469</v>
      </c>
      <c r="G27" s="3">
        <v>5394</v>
      </c>
      <c r="H27" s="5" t="s">
        <v>80</v>
      </c>
    </row>
    <row r="28" spans="1:8" ht="21" x14ac:dyDescent="0.7">
      <c r="A28" s="2">
        <v>27</v>
      </c>
      <c r="B28" s="8" t="s">
        <v>31</v>
      </c>
      <c r="C28" s="10" t="s">
        <v>1459</v>
      </c>
      <c r="D28" s="3"/>
      <c r="E28" s="3">
        <v>1</v>
      </c>
      <c r="F28" s="3">
        <f t="shared" si="2"/>
        <v>468</v>
      </c>
      <c r="G28" s="3" t="s">
        <v>1460</v>
      </c>
      <c r="H28" s="5" t="s">
        <v>52</v>
      </c>
    </row>
    <row r="29" spans="1:8" ht="21" x14ac:dyDescent="0.7">
      <c r="A29" s="2">
        <v>28</v>
      </c>
      <c r="B29" s="8" t="s">
        <v>31</v>
      </c>
      <c r="C29" s="10" t="s">
        <v>1479</v>
      </c>
      <c r="D29" s="3"/>
      <c r="E29" s="3">
        <v>21</v>
      </c>
      <c r="F29" s="3">
        <f t="shared" si="2"/>
        <v>447</v>
      </c>
      <c r="G29" s="3">
        <v>5483</v>
      </c>
      <c r="H29" s="5" t="s">
        <v>1480</v>
      </c>
    </row>
    <row r="30" spans="1:8" ht="21" x14ac:dyDescent="0.7">
      <c r="A30" s="2">
        <v>29</v>
      </c>
      <c r="B30" s="8" t="s">
        <v>31</v>
      </c>
      <c r="C30" s="10" t="s">
        <v>1481</v>
      </c>
      <c r="D30" s="3"/>
      <c r="E30" s="3">
        <v>1</v>
      </c>
      <c r="F30" s="3">
        <f t="shared" si="2"/>
        <v>446</v>
      </c>
      <c r="G30" s="3" t="s">
        <v>1482</v>
      </c>
      <c r="H30" s="5" t="s">
        <v>185</v>
      </c>
    </row>
    <row r="31" spans="1:8" ht="21" x14ac:dyDescent="0.7">
      <c r="A31" s="2">
        <v>30</v>
      </c>
      <c r="B31" s="8" t="s">
        <v>31</v>
      </c>
      <c r="C31" s="10" t="s">
        <v>1492</v>
      </c>
      <c r="D31" s="3"/>
      <c r="E31" s="3">
        <v>60</v>
      </c>
      <c r="F31" s="3">
        <f t="shared" si="2"/>
        <v>386</v>
      </c>
      <c r="G31" s="3">
        <v>5503</v>
      </c>
      <c r="H31" s="5" t="s">
        <v>80</v>
      </c>
    </row>
    <row r="32" spans="1:8" ht="21" x14ac:dyDescent="0.7">
      <c r="A32" s="2">
        <v>31</v>
      </c>
      <c r="B32" s="8" t="s">
        <v>31</v>
      </c>
      <c r="C32" s="10" t="s">
        <v>1486</v>
      </c>
      <c r="D32" s="3"/>
      <c r="E32" s="3">
        <v>60</v>
      </c>
      <c r="F32" s="3">
        <f t="shared" si="2"/>
        <v>326</v>
      </c>
      <c r="G32" s="3">
        <v>5504</v>
      </c>
      <c r="H32" s="5" t="s">
        <v>80</v>
      </c>
    </row>
    <row r="33" spans="1:9" ht="21" x14ac:dyDescent="0.7">
      <c r="A33" s="2">
        <v>32</v>
      </c>
      <c r="B33" s="8" t="s">
        <v>31</v>
      </c>
      <c r="C33" s="10" t="s">
        <v>1508</v>
      </c>
      <c r="D33" s="3"/>
      <c r="E33" s="3">
        <v>1</v>
      </c>
      <c r="F33" s="3">
        <f>F32-E33</f>
        <v>325</v>
      </c>
      <c r="G33" s="3" t="s">
        <v>1510</v>
      </c>
      <c r="H33" s="5" t="s">
        <v>185</v>
      </c>
    </row>
    <row r="34" spans="1:9" ht="21" x14ac:dyDescent="0.7">
      <c r="A34" s="2">
        <v>33</v>
      </c>
      <c r="B34" s="8" t="s">
        <v>31</v>
      </c>
      <c r="C34" s="10" t="s">
        <v>1511</v>
      </c>
      <c r="D34" s="3"/>
      <c r="E34" s="3">
        <v>120</v>
      </c>
      <c r="F34" s="3">
        <f>F33-E34</f>
        <v>205</v>
      </c>
      <c r="G34" s="3">
        <v>5519</v>
      </c>
      <c r="H34" s="5" t="s">
        <v>80</v>
      </c>
    </row>
    <row r="35" spans="1:9" ht="21" x14ac:dyDescent="0.7">
      <c r="A35" s="2">
        <v>34</v>
      </c>
      <c r="B35" s="8" t="s">
        <v>31</v>
      </c>
      <c r="C35" s="10" t="s">
        <v>1531</v>
      </c>
      <c r="D35" s="3"/>
      <c r="E35" s="3">
        <v>4</v>
      </c>
      <c r="F35" s="3">
        <f>F34-E35</f>
        <v>201</v>
      </c>
      <c r="G35" s="3">
        <v>5555</v>
      </c>
      <c r="H35" s="5" t="s">
        <v>1532</v>
      </c>
    </row>
    <row r="36" spans="1:9" ht="20.25" customHeight="1" x14ac:dyDescent="0.3">
      <c r="A36" s="2">
        <v>35</v>
      </c>
      <c r="B36" s="8" t="s">
        <v>31</v>
      </c>
      <c r="C36" s="10" t="s">
        <v>1538</v>
      </c>
      <c r="D36" s="16">
        <v>12</v>
      </c>
      <c r="E36" s="3"/>
      <c r="F36" s="3">
        <f>F35+D36</f>
        <v>213</v>
      </c>
      <c r="G36" s="3"/>
      <c r="H36" s="26" t="s">
        <v>1540</v>
      </c>
    </row>
    <row r="37" spans="1:9" ht="21" x14ac:dyDescent="0.7">
      <c r="A37" s="2">
        <v>36</v>
      </c>
      <c r="B37" s="8" t="s">
        <v>31</v>
      </c>
      <c r="C37" s="10" t="s">
        <v>1594</v>
      </c>
      <c r="D37" s="16">
        <v>864</v>
      </c>
      <c r="E37" s="3"/>
      <c r="F37" s="3">
        <f>F36+D37</f>
        <v>1077</v>
      </c>
      <c r="G37" s="3"/>
      <c r="H37" s="19" t="s">
        <v>1596</v>
      </c>
    </row>
    <row r="38" spans="1:9" ht="21" x14ac:dyDescent="0.7">
      <c r="A38" s="2">
        <v>37</v>
      </c>
      <c r="B38" s="8" t="s">
        <v>31</v>
      </c>
      <c r="C38" s="10" t="s">
        <v>1604</v>
      </c>
      <c r="D38" s="3"/>
      <c r="E38" s="3">
        <v>830</v>
      </c>
      <c r="F38" s="3">
        <f>F37-E38</f>
        <v>247</v>
      </c>
      <c r="G38" s="3">
        <v>5684</v>
      </c>
      <c r="H38" s="5" t="s">
        <v>80</v>
      </c>
    </row>
    <row r="39" spans="1:9" ht="21" x14ac:dyDescent="0.7">
      <c r="A39" s="2">
        <v>38</v>
      </c>
      <c r="B39" s="8" t="s">
        <v>31</v>
      </c>
      <c r="C39" s="10" t="s">
        <v>1613</v>
      </c>
      <c r="D39" s="3"/>
      <c r="E39" s="3">
        <v>1</v>
      </c>
      <c r="F39" s="3">
        <f>F38-E39</f>
        <v>246</v>
      </c>
      <c r="G39" s="3">
        <v>5712</v>
      </c>
      <c r="H39" s="5" t="s">
        <v>780</v>
      </c>
    </row>
    <row r="40" spans="1:9" ht="21" x14ac:dyDescent="0.7">
      <c r="A40" s="2">
        <v>39</v>
      </c>
      <c r="B40" s="8" t="s">
        <v>31</v>
      </c>
      <c r="C40" s="10" t="s">
        <v>1645</v>
      </c>
      <c r="D40" s="3"/>
      <c r="E40" s="3">
        <v>1</v>
      </c>
      <c r="F40" s="3">
        <f>F39-E40</f>
        <v>245</v>
      </c>
      <c r="G40" s="3" t="s">
        <v>1647</v>
      </c>
      <c r="H40" s="5" t="s">
        <v>185</v>
      </c>
    </row>
    <row r="41" spans="1:9" ht="21" x14ac:dyDescent="0.7">
      <c r="A41" s="2">
        <v>40</v>
      </c>
      <c r="B41" s="8" t="s">
        <v>31</v>
      </c>
      <c r="C41" s="10" t="s">
        <v>1708</v>
      </c>
      <c r="D41" s="3">
        <v>60</v>
      </c>
      <c r="E41" s="3"/>
      <c r="F41" s="3">
        <f>F40+D41</f>
        <v>305</v>
      </c>
      <c r="G41" s="3"/>
      <c r="H41" s="19" t="s">
        <v>1709</v>
      </c>
    </row>
    <row r="42" spans="1:9" ht="21" x14ac:dyDescent="0.7">
      <c r="A42" s="2">
        <v>41</v>
      </c>
      <c r="B42" s="8" t="s">
        <v>31</v>
      </c>
      <c r="C42" s="10" t="s">
        <v>1832</v>
      </c>
      <c r="D42" s="3"/>
      <c r="E42" s="3">
        <v>18</v>
      </c>
      <c r="F42" s="3">
        <f>F41-E42</f>
        <v>287</v>
      </c>
      <c r="G42" s="3">
        <v>6063</v>
      </c>
      <c r="H42" s="5" t="s">
        <v>80</v>
      </c>
    </row>
    <row r="43" spans="1:9" ht="21" x14ac:dyDescent="0.7">
      <c r="A43" s="2">
        <v>42</v>
      </c>
      <c r="B43" s="8" t="s">
        <v>31</v>
      </c>
      <c r="C43" s="10" t="s">
        <v>1849</v>
      </c>
      <c r="D43" s="3">
        <v>120</v>
      </c>
      <c r="E43" s="3"/>
      <c r="F43" s="3">
        <f>F42+D43</f>
        <v>407</v>
      </c>
      <c r="G43" s="3"/>
      <c r="H43" s="25" t="s">
        <v>1850</v>
      </c>
      <c r="I43">
        <v>171</v>
      </c>
    </row>
    <row r="44" spans="1:9" ht="21" x14ac:dyDescent="0.7">
      <c r="A44" s="2">
        <v>43</v>
      </c>
      <c r="B44" s="8" t="s">
        <v>31</v>
      </c>
      <c r="C44" s="10" t="s">
        <v>1855</v>
      </c>
      <c r="D44" s="3"/>
      <c r="E44" s="3">
        <v>60</v>
      </c>
      <c r="F44" s="3">
        <f>F43-E44</f>
        <v>347</v>
      </c>
      <c r="G44" s="3" t="s">
        <v>1856</v>
      </c>
      <c r="H44" s="5" t="s">
        <v>80</v>
      </c>
      <c r="I44" t="s">
        <v>1857</v>
      </c>
    </row>
    <row r="45" spans="1:9" ht="21" x14ac:dyDescent="0.7">
      <c r="A45" s="2">
        <v>44</v>
      </c>
      <c r="B45" s="8" t="s">
        <v>31</v>
      </c>
      <c r="C45" s="10" t="s">
        <v>1893</v>
      </c>
      <c r="D45" s="3"/>
      <c r="E45" s="3">
        <v>198</v>
      </c>
      <c r="F45" s="3">
        <f>F44-E45</f>
        <v>149</v>
      </c>
      <c r="G45" s="3" t="s">
        <v>1856</v>
      </c>
      <c r="H45" s="5" t="s">
        <v>80</v>
      </c>
      <c r="I45" t="s">
        <v>1857</v>
      </c>
    </row>
    <row r="46" spans="1:9" ht="21" x14ac:dyDescent="0.7">
      <c r="A46" s="2">
        <v>45</v>
      </c>
      <c r="B46" s="8" t="s">
        <v>31</v>
      </c>
      <c r="C46" s="10" t="s">
        <v>1899</v>
      </c>
      <c r="D46" s="3"/>
      <c r="E46" s="3">
        <v>33</v>
      </c>
      <c r="F46" s="3">
        <f>F45-E46</f>
        <v>116</v>
      </c>
      <c r="G46" s="3" t="s">
        <v>1856</v>
      </c>
      <c r="H46" s="5" t="s">
        <v>80</v>
      </c>
      <c r="I46" t="s">
        <v>1857</v>
      </c>
    </row>
    <row r="47" spans="1:9" ht="21" x14ac:dyDescent="0.7">
      <c r="A47" s="2">
        <v>46</v>
      </c>
      <c r="B47" s="8" t="s">
        <v>31</v>
      </c>
      <c r="C47" s="10"/>
      <c r="D47" s="3"/>
      <c r="E47" s="3"/>
      <c r="F47" s="3">
        <v>34</v>
      </c>
      <c r="G47" s="50" t="s">
        <v>1950</v>
      </c>
      <c r="H47" s="51"/>
    </row>
    <row r="48" spans="1:9" ht="21" x14ac:dyDescent="0.7">
      <c r="A48" s="2">
        <v>47</v>
      </c>
      <c r="B48" s="8" t="s">
        <v>31</v>
      </c>
      <c r="C48" s="10" t="s">
        <v>1934</v>
      </c>
      <c r="D48" s="3">
        <v>756</v>
      </c>
      <c r="E48" s="3"/>
      <c r="F48" s="3">
        <v>756</v>
      </c>
      <c r="G48" s="3"/>
      <c r="H48" s="25" t="s">
        <v>1936</v>
      </c>
    </row>
    <row r="49" spans="1:9" ht="21" x14ac:dyDescent="0.7">
      <c r="A49" s="2">
        <v>48</v>
      </c>
      <c r="B49" s="8" t="s">
        <v>31</v>
      </c>
      <c r="C49" s="10" t="s">
        <v>1939</v>
      </c>
      <c r="D49" s="3"/>
      <c r="E49" s="3">
        <v>749</v>
      </c>
      <c r="F49" s="3">
        <f>7+F47</f>
        <v>41</v>
      </c>
      <c r="G49" s="3">
        <v>6264</v>
      </c>
      <c r="H49" s="5" t="s">
        <v>80</v>
      </c>
      <c r="I49" t="s">
        <v>1857</v>
      </c>
    </row>
    <row r="50" spans="1:9" ht="21" x14ac:dyDescent="0.7">
      <c r="A50" s="2">
        <v>49</v>
      </c>
      <c r="B50" s="8" t="s">
        <v>31</v>
      </c>
      <c r="C50" s="10" t="s">
        <v>1959</v>
      </c>
      <c r="D50" s="3"/>
      <c r="E50" s="3">
        <v>1</v>
      </c>
      <c r="F50" s="3">
        <f>F49-E50</f>
        <v>40</v>
      </c>
      <c r="G50" s="3" t="s">
        <v>1960</v>
      </c>
      <c r="H50" s="5" t="s">
        <v>52</v>
      </c>
    </row>
    <row r="51" spans="1:9" ht="21" x14ac:dyDescent="0.7">
      <c r="A51" s="2">
        <v>50</v>
      </c>
      <c r="B51" s="8" t="s">
        <v>31</v>
      </c>
      <c r="C51" s="10" t="s">
        <v>1972</v>
      </c>
      <c r="D51" s="3"/>
      <c r="E51" s="3">
        <v>1</v>
      </c>
      <c r="F51" s="3">
        <f>F50-E51</f>
        <v>39</v>
      </c>
      <c r="G51" s="3" t="s">
        <v>1973</v>
      </c>
      <c r="H51" s="5" t="s">
        <v>52</v>
      </c>
    </row>
    <row r="52" spans="1:9" ht="21" x14ac:dyDescent="0.7">
      <c r="A52" s="2">
        <v>51</v>
      </c>
      <c r="B52" s="8" t="s">
        <v>31</v>
      </c>
      <c r="C52" s="10" t="s">
        <v>1974</v>
      </c>
      <c r="D52" s="3"/>
      <c r="E52" s="3">
        <v>1</v>
      </c>
      <c r="F52" s="3">
        <f>F51-E52</f>
        <v>38</v>
      </c>
      <c r="G52" s="3" t="s">
        <v>1976</v>
      </c>
      <c r="H52" s="5" t="s">
        <v>52</v>
      </c>
    </row>
    <row r="53" spans="1:9" ht="21" x14ac:dyDescent="0.7">
      <c r="A53" s="2">
        <v>52</v>
      </c>
      <c r="B53" s="8" t="s">
        <v>31</v>
      </c>
      <c r="C53" s="10" t="s">
        <v>2074</v>
      </c>
      <c r="D53" s="3"/>
      <c r="E53" s="3">
        <v>1</v>
      </c>
      <c r="F53" s="3">
        <f>F52-E53</f>
        <v>37</v>
      </c>
      <c r="G53" s="3">
        <v>6346</v>
      </c>
      <c r="H53" s="5" t="s">
        <v>2075</v>
      </c>
    </row>
    <row r="54" spans="1:9" ht="21" x14ac:dyDescent="0.7">
      <c r="A54" s="2">
        <v>53</v>
      </c>
      <c r="B54" s="8" t="s">
        <v>31</v>
      </c>
      <c r="C54" s="10" t="s">
        <v>2080</v>
      </c>
      <c r="D54" s="3">
        <v>264</v>
      </c>
      <c r="E54" s="3"/>
      <c r="F54" s="3">
        <f>F53+D54</f>
        <v>301</v>
      </c>
      <c r="G54" s="3"/>
      <c r="H54" s="19" t="s">
        <v>2081</v>
      </c>
    </row>
    <row r="55" spans="1:9" ht="21" x14ac:dyDescent="0.7">
      <c r="A55" s="2">
        <v>54</v>
      </c>
      <c r="B55" s="8" t="s">
        <v>31</v>
      </c>
      <c r="C55" s="10" t="s">
        <v>2090</v>
      </c>
      <c r="D55" s="3"/>
      <c r="E55" s="3">
        <v>260</v>
      </c>
      <c r="F55" s="3">
        <f>F54-E55</f>
        <v>41</v>
      </c>
      <c r="G55" s="3">
        <v>34</v>
      </c>
      <c r="H55" s="5" t="s">
        <v>80</v>
      </c>
      <c r="I55" t="s">
        <v>2093</v>
      </c>
    </row>
    <row r="56" spans="1:9" ht="21" x14ac:dyDescent="0.7">
      <c r="A56" s="2">
        <v>55</v>
      </c>
      <c r="B56" s="8" t="s">
        <v>31</v>
      </c>
      <c r="C56" s="10" t="s">
        <v>2100</v>
      </c>
      <c r="D56" s="3"/>
      <c r="E56" s="3">
        <v>35</v>
      </c>
      <c r="F56" s="3">
        <f>F55-E56</f>
        <v>6</v>
      </c>
      <c r="G56" s="3" t="s">
        <v>2101</v>
      </c>
      <c r="H56" s="5" t="s">
        <v>2102</v>
      </c>
    </row>
    <row r="57" spans="1:9" ht="21" x14ac:dyDescent="0.7">
      <c r="A57" s="2">
        <v>56</v>
      </c>
      <c r="B57" s="8" t="s">
        <v>31</v>
      </c>
      <c r="C57" s="10" t="s">
        <v>2124</v>
      </c>
      <c r="D57" s="3"/>
      <c r="E57" s="3">
        <v>6</v>
      </c>
      <c r="F57" s="3">
        <f>F56-E57</f>
        <v>0</v>
      </c>
      <c r="G57" s="3">
        <v>6419</v>
      </c>
      <c r="H57" s="5" t="s">
        <v>1532</v>
      </c>
    </row>
    <row r="58" spans="1:9" ht="21" x14ac:dyDescent="0.7">
      <c r="A58" s="2">
        <v>57</v>
      </c>
      <c r="B58" s="8" t="s">
        <v>31</v>
      </c>
      <c r="C58" s="10" t="s">
        <v>2216</v>
      </c>
      <c r="D58" s="3">
        <v>120</v>
      </c>
      <c r="E58" s="3"/>
      <c r="F58" s="3">
        <v>120</v>
      </c>
      <c r="G58" s="3"/>
      <c r="H58" s="19" t="s">
        <v>2217</v>
      </c>
    </row>
    <row r="59" spans="1:9" ht="21" x14ac:dyDescent="0.7">
      <c r="A59" s="2">
        <v>58</v>
      </c>
      <c r="B59" s="8" t="s">
        <v>31</v>
      </c>
      <c r="C59" s="10"/>
      <c r="D59" s="3"/>
      <c r="E59" s="3">
        <v>1</v>
      </c>
      <c r="F59" s="3">
        <f t="shared" ref="F59:F64" si="3">F58-E59</f>
        <v>119</v>
      </c>
      <c r="G59" s="3" t="s">
        <v>2301</v>
      </c>
      <c r="H59" s="5" t="s">
        <v>2302</v>
      </c>
    </row>
    <row r="60" spans="1:9" ht="21" x14ac:dyDescent="0.7">
      <c r="A60" s="2">
        <v>59</v>
      </c>
      <c r="B60" s="8" t="s">
        <v>31</v>
      </c>
      <c r="C60" s="10" t="s">
        <v>2299</v>
      </c>
      <c r="D60" s="3"/>
      <c r="E60" s="3">
        <v>3</v>
      </c>
      <c r="F60" s="3">
        <f t="shared" si="3"/>
        <v>116</v>
      </c>
      <c r="G60" s="3" t="s">
        <v>2300</v>
      </c>
      <c r="H60" s="5" t="s">
        <v>52</v>
      </c>
    </row>
    <row r="61" spans="1:9" ht="21" x14ac:dyDescent="0.7">
      <c r="A61" s="2">
        <v>60</v>
      </c>
      <c r="B61" s="8" t="s">
        <v>31</v>
      </c>
      <c r="C61" s="10" t="s">
        <v>2303</v>
      </c>
      <c r="D61" s="3"/>
      <c r="E61" s="3">
        <v>27</v>
      </c>
      <c r="F61" s="3">
        <f t="shared" si="3"/>
        <v>89</v>
      </c>
      <c r="G61" s="3" t="s">
        <v>2304</v>
      </c>
      <c r="H61" s="5" t="s">
        <v>52</v>
      </c>
    </row>
    <row r="62" spans="1:9" ht="21" x14ac:dyDescent="0.7">
      <c r="A62" s="2">
        <v>61</v>
      </c>
      <c r="B62" s="8" t="s">
        <v>31</v>
      </c>
      <c r="C62" s="10" t="s">
        <v>2320</v>
      </c>
      <c r="D62" s="3"/>
      <c r="E62" s="3">
        <v>5</v>
      </c>
      <c r="F62" s="3">
        <f t="shared" si="3"/>
        <v>84</v>
      </c>
      <c r="G62" s="3">
        <v>6753</v>
      </c>
      <c r="H62" s="5" t="s">
        <v>1450</v>
      </c>
    </row>
    <row r="63" spans="1:9" ht="21" x14ac:dyDescent="0.7">
      <c r="A63" s="2">
        <v>62</v>
      </c>
      <c r="B63" s="8" t="s">
        <v>31</v>
      </c>
      <c r="C63" s="10" t="s">
        <v>2351</v>
      </c>
      <c r="D63" s="3"/>
      <c r="E63" s="3">
        <v>7</v>
      </c>
      <c r="F63" s="3">
        <f t="shared" si="3"/>
        <v>77</v>
      </c>
      <c r="G63" s="3">
        <v>6790</v>
      </c>
      <c r="H63" s="5" t="s">
        <v>1450</v>
      </c>
    </row>
    <row r="64" spans="1:9" ht="21" x14ac:dyDescent="0.7">
      <c r="A64" s="2">
        <v>63</v>
      </c>
      <c r="B64" s="8" t="s">
        <v>31</v>
      </c>
      <c r="C64" s="10" t="s">
        <v>2365</v>
      </c>
      <c r="D64" s="3"/>
      <c r="E64" s="3">
        <v>1</v>
      </c>
      <c r="F64" s="3">
        <f t="shared" si="3"/>
        <v>76</v>
      </c>
      <c r="G64" s="3" t="s">
        <v>2366</v>
      </c>
      <c r="H64" s="5" t="s">
        <v>52</v>
      </c>
    </row>
    <row r="65" spans="1:13" ht="21" x14ac:dyDescent="0.7">
      <c r="A65" s="2">
        <v>64</v>
      </c>
      <c r="B65" s="8" t="s">
        <v>31</v>
      </c>
      <c r="C65" s="10" t="s">
        <v>2374</v>
      </c>
      <c r="D65" s="3"/>
      <c r="E65" s="3">
        <v>48</v>
      </c>
      <c r="F65" s="3">
        <f>F64-E65</f>
        <v>28</v>
      </c>
      <c r="G65" s="16">
        <v>6849</v>
      </c>
      <c r="H65" s="5" t="s">
        <v>80</v>
      </c>
      <c r="I65" s="34" t="s">
        <v>2406</v>
      </c>
      <c r="J65" s="34"/>
      <c r="K65" s="34"/>
      <c r="L65" s="34"/>
      <c r="M65" s="34"/>
    </row>
    <row r="66" spans="1:13" ht="21" x14ac:dyDescent="0.7">
      <c r="A66" s="2">
        <v>65</v>
      </c>
      <c r="B66" s="8" t="s">
        <v>31</v>
      </c>
      <c r="C66" s="10" t="s">
        <v>2388</v>
      </c>
      <c r="D66" s="3"/>
      <c r="E66" s="3">
        <v>12</v>
      </c>
      <c r="F66" s="3">
        <f>F65-E66</f>
        <v>16</v>
      </c>
      <c r="G66" s="16">
        <v>6874</v>
      </c>
      <c r="H66" s="5" t="s">
        <v>80</v>
      </c>
    </row>
    <row r="67" spans="1:13" ht="21" x14ac:dyDescent="0.7">
      <c r="A67" s="2">
        <v>66</v>
      </c>
      <c r="B67" s="8" t="s">
        <v>31</v>
      </c>
      <c r="C67" s="10" t="s">
        <v>2396</v>
      </c>
      <c r="D67" s="3"/>
      <c r="E67" s="3">
        <v>16</v>
      </c>
      <c r="F67" s="3">
        <f>F66-E67</f>
        <v>0</v>
      </c>
      <c r="G67" s="3">
        <v>6883</v>
      </c>
      <c r="H67" s="5" t="s">
        <v>80</v>
      </c>
    </row>
    <row r="68" spans="1:13" ht="21" x14ac:dyDescent="0.7">
      <c r="A68" s="2">
        <v>67</v>
      </c>
      <c r="B68" s="8" t="s">
        <v>31</v>
      </c>
      <c r="C68" s="10" t="s">
        <v>2425</v>
      </c>
      <c r="D68" s="3">
        <v>300</v>
      </c>
      <c r="E68" s="3"/>
      <c r="F68" s="3">
        <v>300</v>
      </c>
      <c r="G68" s="3"/>
      <c r="H68" s="19" t="s">
        <v>2428</v>
      </c>
    </row>
    <row r="69" spans="1:13" ht="21" x14ac:dyDescent="0.7">
      <c r="A69" s="2">
        <v>68</v>
      </c>
      <c r="B69" s="8" t="s">
        <v>31</v>
      </c>
      <c r="C69" s="10" t="s">
        <v>2438</v>
      </c>
      <c r="D69" s="3"/>
      <c r="E69" s="3">
        <v>60</v>
      </c>
      <c r="F69" s="3">
        <f t="shared" ref="F69:F74" si="4">F68-E69</f>
        <v>240</v>
      </c>
      <c r="G69" s="3">
        <v>6954</v>
      </c>
      <c r="H69" s="5" t="s">
        <v>80</v>
      </c>
    </row>
    <row r="70" spans="1:13" ht="21" x14ac:dyDescent="0.7">
      <c r="A70" s="2">
        <v>69</v>
      </c>
      <c r="B70" s="8" t="s">
        <v>31</v>
      </c>
      <c r="C70" s="10" t="s">
        <v>2471</v>
      </c>
      <c r="D70" s="3"/>
      <c r="E70" s="3">
        <v>75</v>
      </c>
      <c r="F70" s="3">
        <f t="shared" si="4"/>
        <v>165</v>
      </c>
      <c r="G70" s="3">
        <v>6995</v>
      </c>
      <c r="H70" s="5" t="s">
        <v>80</v>
      </c>
    </row>
    <row r="71" spans="1:13" ht="21" x14ac:dyDescent="0.7">
      <c r="A71" s="2">
        <v>70</v>
      </c>
      <c r="B71" s="8" t="s">
        <v>31</v>
      </c>
      <c r="C71" s="10" t="s">
        <v>2479</v>
      </c>
      <c r="D71" s="3"/>
      <c r="E71" s="3">
        <v>20</v>
      </c>
      <c r="F71" s="3">
        <f t="shared" si="4"/>
        <v>145</v>
      </c>
      <c r="G71" s="3">
        <v>7010</v>
      </c>
      <c r="H71" s="5" t="s">
        <v>80</v>
      </c>
    </row>
    <row r="72" spans="1:13" ht="21" x14ac:dyDescent="0.7">
      <c r="A72" s="2">
        <v>71</v>
      </c>
      <c r="B72" s="8" t="s">
        <v>31</v>
      </c>
      <c r="C72" s="10" t="s">
        <v>2494</v>
      </c>
      <c r="D72" s="3"/>
      <c r="E72" s="3">
        <v>2</v>
      </c>
      <c r="F72" s="3">
        <f t="shared" si="4"/>
        <v>143</v>
      </c>
      <c r="G72" s="3">
        <v>7032</v>
      </c>
      <c r="H72" s="5" t="s">
        <v>2495</v>
      </c>
    </row>
    <row r="73" spans="1:13" ht="21" x14ac:dyDescent="0.7">
      <c r="A73" s="2">
        <v>72</v>
      </c>
      <c r="B73" s="8" t="s">
        <v>31</v>
      </c>
      <c r="C73" s="10" t="s">
        <v>2504</v>
      </c>
      <c r="D73" s="3"/>
      <c r="E73" s="3">
        <v>1</v>
      </c>
      <c r="F73" s="3">
        <f t="shared" si="4"/>
        <v>142</v>
      </c>
      <c r="G73" s="3" t="s">
        <v>2505</v>
      </c>
      <c r="H73" s="5" t="s">
        <v>52</v>
      </c>
    </row>
    <row r="74" spans="1:13" ht="21" x14ac:dyDescent="0.7">
      <c r="A74" s="2">
        <v>73</v>
      </c>
      <c r="B74" s="8" t="s">
        <v>31</v>
      </c>
      <c r="C74" s="10" t="s">
        <v>2519</v>
      </c>
      <c r="D74" s="3"/>
      <c r="E74" s="3">
        <v>72</v>
      </c>
      <c r="F74" s="3">
        <f t="shared" si="4"/>
        <v>70</v>
      </c>
      <c r="G74" s="3">
        <v>7090</v>
      </c>
      <c r="H74" s="5" t="s">
        <v>80</v>
      </c>
    </row>
    <row r="75" spans="1:13" ht="21" x14ac:dyDescent="0.7">
      <c r="A75" s="2">
        <v>74</v>
      </c>
      <c r="B75" s="8" t="s">
        <v>31</v>
      </c>
      <c r="C75" s="10" t="s">
        <v>2556</v>
      </c>
      <c r="D75" s="3">
        <v>60</v>
      </c>
      <c r="E75" s="3"/>
      <c r="F75" s="3">
        <f>F74+D75</f>
        <v>130</v>
      </c>
      <c r="G75" s="3"/>
      <c r="H75" s="19" t="s">
        <v>2558</v>
      </c>
    </row>
    <row r="76" spans="1:13" ht="21" x14ac:dyDescent="0.7">
      <c r="A76" s="2">
        <v>75</v>
      </c>
      <c r="B76" s="8" t="s">
        <v>31</v>
      </c>
      <c r="C76" s="10" t="s">
        <v>2553</v>
      </c>
      <c r="D76" s="3"/>
      <c r="E76" s="3">
        <v>25</v>
      </c>
      <c r="F76" s="3">
        <f>F75-E76</f>
        <v>105</v>
      </c>
      <c r="G76" s="3">
        <v>7169</v>
      </c>
      <c r="H76" s="5" t="s">
        <v>80</v>
      </c>
    </row>
    <row r="77" spans="1:13" ht="21" x14ac:dyDescent="0.7">
      <c r="A77" s="2">
        <v>76</v>
      </c>
      <c r="B77" s="8" t="s">
        <v>31</v>
      </c>
      <c r="C77" s="10" t="s">
        <v>2584</v>
      </c>
      <c r="D77" s="3">
        <v>216</v>
      </c>
      <c r="E77" s="3"/>
      <c r="F77" s="3">
        <f>F76+D77</f>
        <v>321</v>
      </c>
      <c r="G77" s="3"/>
      <c r="H77" s="19" t="s">
        <v>2587</v>
      </c>
    </row>
    <row r="78" spans="1:13" ht="21" x14ac:dyDescent="0.7">
      <c r="A78" s="2">
        <v>77</v>
      </c>
      <c r="B78" s="8" t="s">
        <v>31</v>
      </c>
      <c r="C78" s="10" t="s">
        <v>2593</v>
      </c>
      <c r="D78" s="3"/>
      <c r="E78" s="3">
        <v>4</v>
      </c>
      <c r="F78" s="3">
        <f>F77-E78</f>
        <v>317</v>
      </c>
      <c r="G78" s="3">
        <v>7220</v>
      </c>
      <c r="H78" s="5" t="s">
        <v>1532</v>
      </c>
    </row>
    <row r="79" spans="1:13" ht="21" x14ac:dyDescent="0.7">
      <c r="A79" s="2">
        <v>78</v>
      </c>
      <c r="B79" s="8" t="s">
        <v>31</v>
      </c>
      <c r="C79" s="10" t="s">
        <v>2596</v>
      </c>
      <c r="D79" s="3"/>
      <c r="E79" s="3">
        <v>200</v>
      </c>
      <c r="F79" s="3">
        <f>F78-E79</f>
        <v>117</v>
      </c>
      <c r="G79" s="3">
        <v>7224</v>
      </c>
      <c r="H79" s="5" t="s">
        <v>80</v>
      </c>
    </row>
    <row r="80" spans="1:13" ht="21" x14ac:dyDescent="0.7">
      <c r="A80" s="2">
        <v>79</v>
      </c>
      <c r="B80" s="8" t="s">
        <v>31</v>
      </c>
      <c r="C80" s="10" t="s">
        <v>2602</v>
      </c>
      <c r="D80" s="3"/>
      <c r="E80" s="3">
        <v>54</v>
      </c>
      <c r="F80" s="3">
        <f>F79-E80</f>
        <v>63</v>
      </c>
      <c r="G80" s="3">
        <v>7230</v>
      </c>
      <c r="H80" s="5" t="s">
        <v>80</v>
      </c>
    </row>
    <row r="81" spans="1:8" ht="21" x14ac:dyDescent="0.7">
      <c r="A81" s="2">
        <v>80</v>
      </c>
      <c r="B81" s="8" t="s">
        <v>31</v>
      </c>
      <c r="C81" s="10" t="s">
        <v>2603</v>
      </c>
      <c r="D81" s="3"/>
      <c r="E81" s="3">
        <v>36</v>
      </c>
      <c r="F81" s="3">
        <f>F80-E81</f>
        <v>27</v>
      </c>
      <c r="G81" s="3">
        <v>7236</v>
      </c>
      <c r="H81" s="5" t="s">
        <v>80</v>
      </c>
    </row>
    <row r="82" spans="1:8" ht="21" x14ac:dyDescent="0.7">
      <c r="A82" s="2">
        <v>81</v>
      </c>
      <c r="B82" s="8" t="s">
        <v>31</v>
      </c>
      <c r="C82" s="10" t="s">
        <v>2630</v>
      </c>
      <c r="D82" s="3"/>
      <c r="E82" s="3">
        <v>27</v>
      </c>
      <c r="F82" s="3">
        <f>F81-E82</f>
        <v>0</v>
      </c>
      <c r="G82" s="3">
        <v>7278</v>
      </c>
      <c r="H82" s="5" t="s">
        <v>2632</v>
      </c>
    </row>
    <row r="83" spans="1:8" ht="21" x14ac:dyDescent="0.7">
      <c r="A83" s="2">
        <v>82</v>
      </c>
      <c r="B83" s="8" t="s">
        <v>31</v>
      </c>
      <c r="C83" s="10" t="s">
        <v>2675</v>
      </c>
      <c r="D83" s="3">
        <v>79</v>
      </c>
      <c r="E83" s="3"/>
      <c r="F83" s="3">
        <f>F82+D83</f>
        <v>79</v>
      </c>
      <c r="G83" s="3"/>
      <c r="H83" s="19" t="s">
        <v>2677</v>
      </c>
    </row>
    <row r="84" spans="1:8" ht="21" x14ac:dyDescent="0.7">
      <c r="A84" s="2">
        <v>83</v>
      </c>
      <c r="B84" s="8" t="s">
        <v>31</v>
      </c>
      <c r="C84" s="10" t="s">
        <v>2683</v>
      </c>
      <c r="D84" s="3"/>
      <c r="E84" s="3">
        <v>23</v>
      </c>
      <c r="F84" s="3">
        <f>F83-E84</f>
        <v>56</v>
      </c>
      <c r="G84" s="3">
        <v>7356</v>
      </c>
      <c r="H84" s="5" t="s">
        <v>2632</v>
      </c>
    </row>
    <row r="85" spans="1:8" ht="21" x14ac:dyDescent="0.7">
      <c r="A85" s="2">
        <v>84</v>
      </c>
      <c r="B85" s="8" t="s">
        <v>31</v>
      </c>
      <c r="C85" s="10"/>
      <c r="D85" s="3"/>
      <c r="E85" s="3"/>
      <c r="F85" s="3"/>
      <c r="G85" s="3"/>
      <c r="H85" s="5"/>
    </row>
    <row r="86" spans="1:8" ht="21" x14ac:dyDescent="0.7">
      <c r="A86" s="2">
        <v>85</v>
      </c>
      <c r="B86" s="8" t="s">
        <v>31</v>
      </c>
      <c r="C86" s="10"/>
      <c r="D86" s="3"/>
      <c r="E86" s="3"/>
      <c r="F86" s="3"/>
      <c r="G86" s="3"/>
      <c r="H86" s="5"/>
    </row>
    <row r="87" spans="1:8" ht="21" x14ac:dyDescent="0.7">
      <c r="A87" s="2">
        <v>86</v>
      </c>
      <c r="B87" s="8" t="s">
        <v>31</v>
      </c>
      <c r="C87" s="10"/>
      <c r="D87" s="3"/>
      <c r="E87" s="3"/>
      <c r="F87" s="3"/>
      <c r="G87" s="3"/>
      <c r="H87" s="5"/>
    </row>
  </sheetData>
  <mergeCells count="4">
    <mergeCell ref="G3:H3"/>
    <mergeCell ref="G7:H7"/>
    <mergeCell ref="G20:H20"/>
    <mergeCell ref="G47:H47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I161"/>
  <sheetViews>
    <sheetView rightToLeft="1" zoomScale="115" zoomScaleNormal="115" workbookViewId="0">
      <pane ySplit="1" topLeftCell="A151" activePane="bottomLeft" state="frozen"/>
      <selection pane="bottomLeft" activeCell="G159" sqref="G159"/>
    </sheetView>
  </sheetViews>
  <sheetFormatPr defaultRowHeight="14.4" x14ac:dyDescent="0.3"/>
  <cols>
    <col min="2" max="2" width="10.44140625" bestFit="1" customWidth="1"/>
    <col min="3" max="3" width="11.88671875" bestFit="1" customWidth="1"/>
    <col min="7" max="7" width="11.88671875" bestFit="1" customWidth="1"/>
    <col min="8" max="8" width="24.1093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32</v>
      </c>
      <c r="C2" s="10" t="s">
        <v>78</v>
      </c>
      <c r="D2" s="3"/>
      <c r="E2" s="3">
        <v>50</v>
      </c>
      <c r="F2" s="3">
        <v>185</v>
      </c>
      <c r="G2" s="3">
        <v>3639</v>
      </c>
      <c r="H2" s="5" t="s">
        <v>79</v>
      </c>
    </row>
    <row r="3" spans="1:8" ht="21" x14ac:dyDescent="0.7">
      <c r="A3" s="2">
        <v>2</v>
      </c>
      <c r="B3" s="8" t="s">
        <v>32</v>
      </c>
      <c r="C3" s="10" t="s">
        <v>100</v>
      </c>
      <c r="D3" s="3"/>
      <c r="E3" s="3">
        <v>100</v>
      </c>
      <c r="F3" s="3">
        <f t="shared" ref="F3:F8" si="0">F2-E3</f>
        <v>85</v>
      </c>
      <c r="G3" s="3">
        <v>3655</v>
      </c>
      <c r="H3" s="5" t="s">
        <v>79</v>
      </c>
    </row>
    <row r="4" spans="1:8" ht="21" x14ac:dyDescent="0.7">
      <c r="A4" s="2">
        <v>3</v>
      </c>
      <c r="B4" s="8" t="s">
        <v>32</v>
      </c>
      <c r="C4" s="10" t="s">
        <v>108</v>
      </c>
      <c r="D4" s="3"/>
      <c r="E4" s="3">
        <v>5</v>
      </c>
      <c r="F4" s="3">
        <f t="shared" si="0"/>
        <v>80</v>
      </c>
      <c r="G4" s="3">
        <v>3662</v>
      </c>
      <c r="H4" s="5" t="s">
        <v>79</v>
      </c>
    </row>
    <row r="5" spans="1:8" ht="20.25" customHeight="1" x14ac:dyDescent="0.3">
      <c r="A5" s="2">
        <v>4</v>
      </c>
      <c r="B5" s="8"/>
      <c r="C5" s="10"/>
      <c r="D5" s="3"/>
      <c r="E5" s="3">
        <v>5</v>
      </c>
      <c r="F5" s="3">
        <f t="shared" si="0"/>
        <v>75</v>
      </c>
      <c r="G5" s="46" t="s">
        <v>194</v>
      </c>
      <c r="H5" s="47"/>
    </row>
    <row r="6" spans="1:8" ht="21" x14ac:dyDescent="0.7">
      <c r="A6" s="2">
        <v>5</v>
      </c>
      <c r="B6" s="8" t="s">
        <v>32</v>
      </c>
      <c r="C6" s="10" t="s">
        <v>147</v>
      </c>
      <c r="D6" s="3"/>
      <c r="E6" s="3">
        <v>1</v>
      </c>
      <c r="F6" s="3">
        <f t="shared" si="0"/>
        <v>74</v>
      </c>
      <c r="G6" s="3">
        <v>3745</v>
      </c>
      <c r="H6" s="5" t="s">
        <v>148</v>
      </c>
    </row>
    <row r="7" spans="1:8" ht="21" x14ac:dyDescent="0.7">
      <c r="A7" s="2">
        <v>6</v>
      </c>
      <c r="B7" s="8" t="s">
        <v>32</v>
      </c>
      <c r="C7" s="10" t="s">
        <v>160</v>
      </c>
      <c r="D7" s="3"/>
      <c r="E7" s="3">
        <v>50</v>
      </c>
      <c r="F7" s="3">
        <f t="shared" si="0"/>
        <v>24</v>
      </c>
      <c r="G7" s="3">
        <v>3755</v>
      </c>
      <c r="H7" s="5" t="s">
        <v>161</v>
      </c>
    </row>
    <row r="8" spans="1:8" ht="21" x14ac:dyDescent="0.7">
      <c r="A8" s="2">
        <v>7</v>
      </c>
      <c r="B8" s="8" t="s">
        <v>32</v>
      </c>
      <c r="C8" s="10" t="s">
        <v>183</v>
      </c>
      <c r="D8" s="3"/>
      <c r="E8" s="3">
        <v>1</v>
      </c>
      <c r="F8" s="3">
        <f t="shared" si="0"/>
        <v>23</v>
      </c>
      <c r="G8" s="3" t="s">
        <v>184</v>
      </c>
      <c r="H8" s="5" t="s">
        <v>185</v>
      </c>
    </row>
    <row r="9" spans="1:8" ht="21" x14ac:dyDescent="0.7">
      <c r="A9" s="2">
        <v>8</v>
      </c>
      <c r="B9" s="8" t="s">
        <v>32</v>
      </c>
      <c r="C9" s="10" t="s">
        <v>203</v>
      </c>
      <c r="D9" s="3"/>
      <c r="E9" s="3">
        <v>1</v>
      </c>
      <c r="F9" s="3">
        <f>F8-E9</f>
        <v>22</v>
      </c>
      <c r="G9" s="3" t="s">
        <v>205</v>
      </c>
      <c r="H9" s="5" t="s">
        <v>204</v>
      </c>
    </row>
    <row r="10" spans="1:8" ht="21" x14ac:dyDescent="0.7">
      <c r="A10" s="2">
        <v>9</v>
      </c>
      <c r="B10" s="8" t="s">
        <v>32</v>
      </c>
      <c r="C10" s="10" t="s">
        <v>235</v>
      </c>
      <c r="D10" s="3"/>
      <c r="E10" s="3">
        <v>2</v>
      </c>
      <c r="F10" s="3">
        <f>F9-E10</f>
        <v>20</v>
      </c>
      <c r="G10" s="3">
        <v>3861</v>
      </c>
      <c r="H10" s="5" t="s">
        <v>236</v>
      </c>
    </row>
    <row r="11" spans="1:8" ht="21" x14ac:dyDescent="0.7">
      <c r="A11" s="2">
        <v>10</v>
      </c>
      <c r="B11" s="8" t="s">
        <v>32</v>
      </c>
      <c r="C11" s="12" t="s">
        <v>246</v>
      </c>
      <c r="D11" s="3">
        <v>120</v>
      </c>
      <c r="E11" s="3"/>
      <c r="F11" s="3">
        <f>F10+D11</f>
        <v>140</v>
      </c>
      <c r="G11" s="3"/>
      <c r="H11" s="5"/>
    </row>
    <row r="12" spans="1:8" ht="21" x14ac:dyDescent="0.7">
      <c r="A12" s="2"/>
      <c r="B12" s="8" t="s">
        <v>32</v>
      </c>
      <c r="C12" s="10" t="s">
        <v>803</v>
      </c>
      <c r="D12" s="3"/>
      <c r="E12" s="3">
        <v>10</v>
      </c>
      <c r="F12" s="3">
        <f>F11-E12</f>
        <v>130</v>
      </c>
      <c r="G12" s="3" t="s">
        <v>804</v>
      </c>
      <c r="H12" s="5" t="s">
        <v>185</v>
      </c>
    </row>
    <row r="13" spans="1:8" ht="21" x14ac:dyDescent="0.7">
      <c r="A13" s="2">
        <v>11</v>
      </c>
      <c r="B13" s="8" t="s">
        <v>32</v>
      </c>
      <c r="C13" s="10" t="s">
        <v>358</v>
      </c>
      <c r="D13" s="3"/>
      <c r="E13" s="3">
        <v>2</v>
      </c>
      <c r="F13" s="3">
        <f>F12-E13</f>
        <v>128</v>
      </c>
      <c r="G13" s="3">
        <v>4016</v>
      </c>
      <c r="H13" s="5" t="s">
        <v>359</v>
      </c>
    </row>
    <row r="14" spans="1:8" ht="20.25" customHeight="1" x14ac:dyDescent="0.3">
      <c r="A14" s="2">
        <v>12</v>
      </c>
      <c r="B14" s="8" t="s">
        <v>32</v>
      </c>
      <c r="C14" s="10"/>
      <c r="D14" s="3"/>
      <c r="E14" s="3"/>
      <c r="F14" s="3">
        <v>139</v>
      </c>
      <c r="G14" s="48" t="s">
        <v>376</v>
      </c>
      <c r="H14" s="49"/>
    </row>
    <row r="15" spans="1:8" ht="21" x14ac:dyDescent="0.7">
      <c r="A15" s="2">
        <v>13</v>
      </c>
      <c r="B15" s="8" t="s">
        <v>32</v>
      </c>
      <c r="C15" s="10" t="s">
        <v>415</v>
      </c>
      <c r="D15" s="3"/>
      <c r="E15" s="3">
        <v>7</v>
      </c>
      <c r="F15" s="3">
        <f t="shared" ref="F15:F20" si="1">F14-E15</f>
        <v>132</v>
      </c>
      <c r="G15" s="3">
        <v>4095</v>
      </c>
      <c r="H15" s="5" t="s">
        <v>79</v>
      </c>
    </row>
    <row r="16" spans="1:8" ht="21" x14ac:dyDescent="0.7">
      <c r="A16" s="2">
        <v>14</v>
      </c>
      <c r="B16" s="8" t="s">
        <v>32</v>
      </c>
      <c r="C16" s="10" t="s">
        <v>444</v>
      </c>
      <c r="D16" s="3"/>
      <c r="E16" s="3">
        <v>1</v>
      </c>
      <c r="F16" s="3">
        <f t="shared" si="1"/>
        <v>131</v>
      </c>
      <c r="G16" s="3">
        <v>4141</v>
      </c>
      <c r="H16" s="5" t="s">
        <v>445</v>
      </c>
    </row>
    <row r="17" spans="1:9" ht="21" x14ac:dyDescent="0.7">
      <c r="A17" s="2">
        <v>15</v>
      </c>
      <c r="B17" s="8" t="s">
        <v>32</v>
      </c>
      <c r="C17" s="10" t="s">
        <v>454</v>
      </c>
      <c r="D17" s="3"/>
      <c r="E17" s="3">
        <v>1</v>
      </c>
      <c r="F17" s="3">
        <f t="shared" si="1"/>
        <v>130</v>
      </c>
      <c r="G17" s="3">
        <v>4147</v>
      </c>
      <c r="H17" s="5" t="s">
        <v>458</v>
      </c>
    </row>
    <row r="18" spans="1:9" ht="21" x14ac:dyDescent="0.7">
      <c r="A18" s="2">
        <v>16</v>
      </c>
      <c r="B18" s="8" t="s">
        <v>32</v>
      </c>
      <c r="C18" s="10" t="s">
        <v>467</v>
      </c>
      <c r="D18" s="3"/>
      <c r="E18" s="3">
        <v>1</v>
      </c>
      <c r="F18" s="3">
        <f t="shared" si="1"/>
        <v>129</v>
      </c>
      <c r="G18" s="3" t="s">
        <v>468</v>
      </c>
      <c r="H18" s="5" t="s">
        <v>185</v>
      </c>
    </row>
    <row r="19" spans="1:9" ht="21" x14ac:dyDescent="0.7">
      <c r="A19" s="2">
        <v>17</v>
      </c>
      <c r="B19" s="8" t="s">
        <v>32</v>
      </c>
      <c r="C19" s="10" t="s">
        <v>469</v>
      </c>
      <c r="D19" s="3"/>
      <c r="E19" s="3">
        <v>1</v>
      </c>
      <c r="F19" s="3">
        <f t="shared" si="1"/>
        <v>128</v>
      </c>
      <c r="G19" s="3" t="s">
        <v>470</v>
      </c>
      <c r="H19" s="5" t="s">
        <v>52</v>
      </c>
    </row>
    <row r="20" spans="1:9" ht="21" x14ac:dyDescent="0.7">
      <c r="A20" s="2">
        <v>18</v>
      </c>
      <c r="B20" s="8" t="s">
        <v>32</v>
      </c>
      <c r="C20" s="10" t="s">
        <v>481</v>
      </c>
      <c r="D20" s="3"/>
      <c r="E20" s="3">
        <v>2</v>
      </c>
      <c r="F20" s="3">
        <f t="shared" si="1"/>
        <v>126</v>
      </c>
      <c r="G20" s="3">
        <v>4201</v>
      </c>
      <c r="H20" s="5" t="s">
        <v>485</v>
      </c>
    </row>
    <row r="21" spans="1:9" ht="21.75" customHeight="1" x14ac:dyDescent="0.3">
      <c r="A21" s="2">
        <v>19</v>
      </c>
      <c r="B21" s="8" t="s">
        <v>32</v>
      </c>
      <c r="C21" s="10" t="s">
        <v>495</v>
      </c>
      <c r="D21" s="3">
        <v>80</v>
      </c>
      <c r="E21" s="3"/>
      <c r="F21" s="3">
        <f>F20+D21</f>
        <v>206</v>
      </c>
      <c r="G21" s="3"/>
      <c r="H21" s="16" t="s">
        <v>497</v>
      </c>
    </row>
    <row r="22" spans="1:9" ht="21" x14ac:dyDescent="0.7">
      <c r="A22" s="2">
        <v>20</v>
      </c>
      <c r="B22" s="8" t="s">
        <v>32</v>
      </c>
      <c r="C22" s="10" t="s">
        <v>552</v>
      </c>
      <c r="D22" s="3"/>
      <c r="E22" s="3">
        <v>1</v>
      </c>
      <c r="F22" s="3">
        <f t="shared" ref="F22:F27" si="2">F21-E22</f>
        <v>205</v>
      </c>
      <c r="G22" s="3" t="s">
        <v>553</v>
      </c>
      <c r="H22" s="5" t="s">
        <v>52</v>
      </c>
    </row>
    <row r="23" spans="1:9" ht="21" x14ac:dyDescent="0.7">
      <c r="A23" s="2">
        <v>21</v>
      </c>
      <c r="B23" s="8" t="s">
        <v>32</v>
      </c>
      <c r="C23" s="10" t="s">
        <v>602</v>
      </c>
      <c r="D23" s="3"/>
      <c r="E23" s="3">
        <v>1</v>
      </c>
      <c r="F23" s="3">
        <f t="shared" si="2"/>
        <v>204</v>
      </c>
      <c r="G23" s="3" t="s">
        <v>603</v>
      </c>
      <c r="H23" s="5" t="s">
        <v>52</v>
      </c>
    </row>
    <row r="24" spans="1:9" ht="21" x14ac:dyDescent="0.7">
      <c r="A24" s="2">
        <v>22</v>
      </c>
      <c r="B24" s="8" t="s">
        <v>32</v>
      </c>
      <c r="C24" s="10" t="s">
        <v>619</v>
      </c>
      <c r="D24" s="3"/>
      <c r="E24" s="3">
        <v>20</v>
      </c>
      <c r="F24" s="3">
        <f t="shared" si="2"/>
        <v>184</v>
      </c>
      <c r="G24" s="3">
        <v>4338</v>
      </c>
      <c r="H24" s="5" t="s">
        <v>412</v>
      </c>
    </row>
    <row r="25" spans="1:9" ht="21" x14ac:dyDescent="0.7">
      <c r="A25" s="2">
        <v>23</v>
      </c>
      <c r="B25" s="8" t="s">
        <v>32</v>
      </c>
      <c r="C25" s="10"/>
      <c r="D25" s="3"/>
      <c r="E25" s="3">
        <v>12</v>
      </c>
      <c r="F25" s="3">
        <f t="shared" si="2"/>
        <v>172</v>
      </c>
      <c r="G25" s="3"/>
      <c r="H25" s="5" t="s">
        <v>646</v>
      </c>
    </row>
    <row r="26" spans="1:9" ht="21" x14ac:dyDescent="0.7">
      <c r="A26" s="2">
        <v>24</v>
      </c>
      <c r="B26" s="8" t="s">
        <v>32</v>
      </c>
      <c r="C26" s="10" t="s">
        <v>681</v>
      </c>
      <c r="D26" s="3"/>
      <c r="E26" s="3">
        <v>1</v>
      </c>
      <c r="F26" s="3">
        <f t="shared" si="2"/>
        <v>171</v>
      </c>
      <c r="G26" s="3" t="s">
        <v>682</v>
      </c>
      <c r="H26" s="5" t="s">
        <v>52</v>
      </c>
    </row>
    <row r="27" spans="1:9" ht="21" x14ac:dyDescent="0.7">
      <c r="A27" s="2">
        <v>25</v>
      </c>
      <c r="B27" s="8" t="s">
        <v>32</v>
      </c>
      <c r="C27" s="10" t="s">
        <v>684</v>
      </c>
      <c r="D27" s="3"/>
      <c r="E27" s="3">
        <v>1</v>
      </c>
      <c r="F27" s="3">
        <f t="shared" si="2"/>
        <v>170</v>
      </c>
      <c r="G27" s="3" t="s">
        <v>685</v>
      </c>
      <c r="H27" s="5" t="s">
        <v>52</v>
      </c>
    </row>
    <row r="28" spans="1:9" ht="21" x14ac:dyDescent="0.7">
      <c r="A28" s="2">
        <v>26</v>
      </c>
      <c r="B28" s="8" t="s">
        <v>32</v>
      </c>
      <c r="C28" s="10" t="s">
        <v>696</v>
      </c>
      <c r="D28" s="3"/>
      <c r="E28" s="3">
        <v>1</v>
      </c>
      <c r="F28" s="3">
        <f>F27-E28</f>
        <v>169</v>
      </c>
      <c r="G28" s="3" t="s">
        <v>697</v>
      </c>
      <c r="H28" s="5" t="s">
        <v>185</v>
      </c>
    </row>
    <row r="29" spans="1:9" ht="21" x14ac:dyDescent="0.7">
      <c r="A29" s="2">
        <v>27</v>
      </c>
      <c r="B29" s="8" t="s">
        <v>32</v>
      </c>
      <c r="C29" s="10" t="s">
        <v>705</v>
      </c>
      <c r="D29" s="3"/>
      <c r="E29" s="3">
        <v>1</v>
      </c>
      <c r="F29" s="3">
        <f>F28-E29</f>
        <v>168</v>
      </c>
      <c r="G29" s="3" t="s">
        <v>706</v>
      </c>
      <c r="H29" s="5" t="s">
        <v>52</v>
      </c>
    </row>
    <row r="30" spans="1:9" ht="21" x14ac:dyDescent="0.7">
      <c r="A30" s="2">
        <v>28</v>
      </c>
      <c r="B30" s="8" t="s">
        <v>32</v>
      </c>
      <c r="C30" s="10" t="s">
        <v>727</v>
      </c>
      <c r="D30" s="3">
        <v>6</v>
      </c>
      <c r="E30" s="3"/>
      <c r="F30" s="3">
        <f>F29+D30</f>
        <v>174</v>
      </c>
      <c r="G30" s="3"/>
      <c r="H30" s="5" t="s">
        <v>646</v>
      </c>
      <c r="I30" t="s">
        <v>729</v>
      </c>
    </row>
    <row r="31" spans="1:9" ht="21" x14ac:dyDescent="0.7">
      <c r="A31" s="2">
        <v>29</v>
      </c>
      <c r="B31" s="8" t="s">
        <v>32</v>
      </c>
      <c r="C31" s="10" t="s">
        <v>735</v>
      </c>
      <c r="D31" s="3"/>
      <c r="E31" s="3">
        <v>1</v>
      </c>
      <c r="F31" s="3">
        <f t="shared" ref="F31:F36" si="3">F30-E31</f>
        <v>173</v>
      </c>
      <c r="G31" s="3" t="s">
        <v>736</v>
      </c>
      <c r="H31" s="5" t="s">
        <v>185</v>
      </c>
    </row>
    <row r="32" spans="1:9" ht="21" x14ac:dyDescent="0.7">
      <c r="A32" s="2">
        <v>30</v>
      </c>
      <c r="B32" s="8" t="s">
        <v>32</v>
      </c>
      <c r="C32" s="10" t="s">
        <v>745</v>
      </c>
      <c r="D32" s="3"/>
      <c r="E32" s="3">
        <v>2</v>
      </c>
      <c r="F32" s="3">
        <f t="shared" si="3"/>
        <v>171</v>
      </c>
      <c r="G32" s="3" t="s">
        <v>746</v>
      </c>
      <c r="H32" s="5" t="s">
        <v>185</v>
      </c>
    </row>
    <row r="33" spans="1:9" ht="21" x14ac:dyDescent="0.7">
      <c r="A33" s="2">
        <v>31</v>
      </c>
      <c r="B33" s="8" t="s">
        <v>32</v>
      </c>
      <c r="C33" s="10" t="s">
        <v>761</v>
      </c>
      <c r="D33" s="3"/>
      <c r="E33" s="3">
        <v>2</v>
      </c>
      <c r="F33" s="3">
        <f t="shared" si="3"/>
        <v>169</v>
      </c>
      <c r="G33" s="3" t="s">
        <v>762</v>
      </c>
      <c r="H33" s="5" t="s">
        <v>185</v>
      </c>
    </row>
    <row r="34" spans="1:9" ht="21" x14ac:dyDescent="0.7">
      <c r="A34" s="2">
        <v>32</v>
      </c>
      <c r="B34" s="8" t="s">
        <v>32</v>
      </c>
      <c r="C34" s="10" t="s">
        <v>761</v>
      </c>
      <c r="D34" s="3"/>
      <c r="E34" s="3">
        <v>2</v>
      </c>
      <c r="F34" s="3">
        <f t="shared" si="3"/>
        <v>167</v>
      </c>
      <c r="G34" s="3" t="s">
        <v>763</v>
      </c>
      <c r="H34" s="5" t="s">
        <v>52</v>
      </c>
    </row>
    <row r="35" spans="1:9" ht="21" x14ac:dyDescent="0.7">
      <c r="A35" s="2">
        <v>33</v>
      </c>
      <c r="B35" s="8" t="s">
        <v>32</v>
      </c>
      <c r="C35" s="10" t="s">
        <v>758</v>
      </c>
      <c r="D35" s="3"/>
      <c r="E35" s="3">
        <v>20</v>
      </c>
      <c r="F35" s="3">
        <f t="shared" si="3"/>
        <v>147</v>
      </c>
      <c r="G35" s="3">
        <v>4539</v>
      </c>
      <c r="H35" s="5" t="s">
        <v>79</v>
      </c>
    </row>
    <row r="36" spans="1:9" ht="21" x14ac:dyDescent="0.7">
      <c r="A36" s="2">
        <v>34</v>
      </c>
      <c r="B36" s="8" t="s">
        <v>32</v>
      </c>
      <c r="C36" s="10" t="s">
        <v>781</v>
      </c>
      <c r="D36" s="3"/>
      <c r="E36" s="3">
        <v>30</v>
      </c>
      <c r="F36" s="3">
        <f t="shared" si="3"/>
        <v>117</v>
      </c>
      <c r="G36" s="3">
        <v>4585</v>
      </c>
      <c r="H36" s="5" t="s">
        <v>80</v>
      </c>
    </row>
    <row r="37" spans="1:9" ht="21" x14ac:dyDescent="0.7">
      <c r="A37" s="2">
        <v>35</v>
      </c>
      <c r="B37" s="8" t="s">
        <v>32</v>
      </c>
      <c r="C37" s="10" t="s">
        <v>805</v>
      </c>
      <c r="D37" s="3"/>
      <c r="E37" s="3">
        <v>2</v>
      </c>
      <c r="F37" s="3">
        <f t="shared" ref="F37:F42" si="4">F36-E37</f>
        <v>115</v>
      </c>
      <c r="G37" s="3">
        <v>4615</v>
      </c>
      <c r="H37" s="5" t="s">
        <v>810</v>
      </c>
    </row>
    <row r="38" spans="1:9" ht="21" x14ac:dyDescent="0.7">
      <c r="A38" s="2">
        <v>36</v>
      </c>
      <c r="B38" s="8" t="s">
        <v>32</v>
      </c>
      <c r="C38" s="10" t="s">
        <v>839</v>
      </c>
      <c r="D38" s="3"/>
      <c r="E38" s="3">
        <v>40</v>
      </c>
      <c r="F38" s="3">
        <f t="shared" si="4"/>
        <v>75</v>
      </c>
      <c r="G38" s="3">
        <v>4640</v>
      </c>
      <c r="H38" s="5" t="s">
        <v>412</v>
      </c>
    </row>
    <row r="39" spans="1:9" ht="21" x14ac:dyDescent="0.7">
      <c r="A39" s="2">
        <v>37</v>
      </c>
      <c r="B39" s="8" t="s">
        <v>32</v>
      </c>
      <c r="C39" s="10" t="s">
        <v>843</v>
      </c>
      <c r="D39" s="3"/>
      <c r="E39" s="3">
        <v>1</v>
      </c>
      <c r="F39" s="3">
        <f t="shared" si="4"/>
        <v>74</v>
      </c>
      <c r="G39" s="3" t="s">
        <v>844</v>
      </c>
      <c r="H39" s="5" t="s">
        <v>52</v>
      </c>
    </row>
    <row r="40" spans="1:9" ht="21" x14ac:dyDescent="0.7">
      <c r="A40" s="2">
        <v>38</v>
      </c>
      <c r="B40" s="8" t="s">
        <v>32</v>
      </c>
      <c r="C40" s="10" t="s">
        <v>959</v>
      </c>
      <c r="D40" s="3"/>
      <c r="E40" s="3">
        <v>1</v>
      </c>
      <c r="F40" s="3">
        <f t="shared" si="4"/>
        <v>73</v>
      </c>
      <c r="G40" s="3" t="s">
        <v>960</v>
      </c>
      <c r="H40" s="5" t="s">
        <v>185</v>
      </c>
    </row>
    <row r="41" spans="1:9" ht="21" x14ac:dyDescent="0.7">
      <c r="A41" s="2">
        <v>39</v>
      </c>
      <c r="B41" s="8" t="s">
        <v>32</v>
      </c>
      <c r="C41" s="10" t="s">
        <v>961</v>
      </c>
      <c r="D41" s="3"/>
      <c r="E41" s="3">
        <v>5</v>
      </c>
      <c r="F41" s="3">
        <f t="shared" si="4"/>
        <v>68</v>
      </c>
      <c r="G41" s="3">
        <v>4801</v>
      </c>
      <c r="H41" s="5" t="s">
        <v>962</v>
      </c>
    </row>
    <row r="42" spans="1:9" ht="21" x14ac:dyDescent="0.7">
      <c r="A42" s="2">
        <v>40</v>
      </c>
      <c r="B42" s="8" t="s">
        <v>32</v>
      </c>
      <c r="C42" s="10" t="s">
        <v>979</v>
      </c>
      <c r="D42" s="3"/>
      <c r="E42" s="3">
        <v>1</v>
      </c>
      <c r="F42" s="3">
        <f t="shared" si="4"/>
        <v>67</v>
      </c>
      <c r="G42" s="3" t="s">
        <v>980</v>
      </c>
      <c r="H42" s="5" t="s">
        <v>185</v>
      </c>
    </row>
    <row r="43" spans="1:9" ht="21" x14ac:dyDescent="0.7">
      <c r="A43" s="2">
        <v>41</v>
      </c>
      <c r="B43" s="8" t="s">
        <v>32</v>
      </c>
      <c r="C43" s="10" t="s">
        <v>997</v>
      </c>
      <c r="D43" s="3"/>
      <c r="E43" s="3">
        <v>1</v>
      </c>
      <c r="F43" s="3">
        <f>F42-E43</f>
        <v>66</v>
      </c>
      <c r="G43" s="3" t="s">
        <v>998</v>
      </c>
      <c r="H43" s="5" t="s">
        <v>185</v>
      </c>
    </row>
    <row r="44" spans="1:9" ht="21" x14ac:dyDescent="0.7">
      <c r="A44" s="2">
        <v>42</v>
      </c>
      <c r="B44" s="8" t="s">
        <v>32</v>
      </c>
      <c r="C44" s="10" t="s">
        <v>993</v>
      </c>
      <c r="D44" s="3"/>
      <c r="E44" s="3">
        <v>1</v>
      </c>
      <c r="F44" s="3">
        <f>F43-E44</f>
        <v>65</v>
      </c>
      <c r="G44" s="3">
        <v>4878</v>
      </c>
      <c r="H44" s="5" t="s">
        <v>1005</v>
      </c>
    </row>
    <row r="45" spans="1:9" ht="20.25" customHeight="1" x14ac:dyDescent="0.3">
      <c r="A45" s="2">
        <v>43</v>
      </c>
      <c r="B45" s="8" t="s">
        <v>32</v>
      </c>
      <c r="C45" s="10" t="s">
        <v>999</v>
      </c>
      <c r="D45" s="3">
        <v>118</v>
      </c>
      <c r="E45" s="3"/>
      <c r="F45" s="3">
        <f>F44+D45</f>
        <v>183</v>
      </c>
      <c r="G45" s="44" t="s">
        <v>1002</v>
      </c>
      <c r="H45" s="47"/>
      <c r="I45" t="s">
        <v>1026</v>
      </c>
    </row>
    <row r="46" spans="1:9" ht="21" x14ac:dyDescent="0.7">
      <c r="A46" s="2">
        <v>44</v>
      </c>
      <c r="B46" s="8" t="s">
        <v>32</v>
      </c>
      <c r="C46" s="10" t="s">
        <v>1012</v>
      </c>
      <c r="D46" s="3"/>
      <c r="E46" s="3">
        <v>5</v>
      </c>
      <c r="F46" s="3">
        <f t="shared" ref="F46:F51" si="5">F45-E46</f>
        <v>178</v>
      </c>
      <c r="G46" s="3" t="s">
        <v>1013</v>
      </c>
      <c r="H46" s="5" t="s">
        <v>52</v>
      </c>
    </row>
    <row r="47" spans="1:9" ht="21" x14ac:dyDescent="0.7">
      <c r="A47" s="2">
        <v>45</v>
      </c>
      <c r="B47" s="8" t="s">
        <v>32</v>
      </c>
      <c r="C47" s="10" t="s">
        <v>1035</v>
      </c>
      <c r="D47" s="3"/>
      <c r="E47" s="3">
        <v>1</v>
      </c>
      <c r="F47" s="3">
        <f t="shared" si="5"/>
        <v>177</v>
      </c>
      <c r="G47" s="3" t="s">
        <v>1036</v>
      </c>
      <c r="H47" s="5" t="s">
        <v>52</v>
      </c>
    </row>
    <row r="48" spans="1:9" ht="21" x14ac:dyDescent="0.7">
      <c r="A48" s="2">
        <v>46</v>
      </c>
      <c r="B48" s="8" t="s">
        <v>32</v>
      </c>
      <c r="C48" s="10" t="s">
        <v>1045</v>
      </c>
      <c r="D48" s="3"/>
      <c r="E48" s="3">
        <v>1</v>
      </c>
      <c r="F48" s="3">
        <f t="shared" si="5"/>
        <v>176</v>
      </c>
      <c r="G48" s="3" t="s">
        <v>1046</v>
      </c>
      <c r="H48" s="5" t="s">
        <v>52</v>
      </c>
    </row>
    <row r="49" spans="1:9" ht="21" x14ac:dyDescent="0.7">
      <c r="A49" s="2">
        <v>47</v>
      </c>
      <c r="B49" s="8" t="s">
        <v>32</v>
      </c>
      <c r="C49" s="10" t="s">
        <v>1053</v>
      </c>
      <c r="D49" s="3"/>
      <c r="E49" s="3">
        <v>10</v>
      </c>
      <c r="F49" s="3">
        <f t="shared" si="5"/>
        <v>166</v>
      </c>
      <c r="G49" s="3">
        <v>4942</v>
      </c>
      <c r="H49" s="5" t="s">
        <v>1054</v>
      </c>
    </row>
    <row r="50" spans="1:9" ht="21" x14ac:dyDescent="0.7">
      <c r="A50" s="2">
        <v>48</v>
      </c>
      <c r="B50" s="8" t="s">
        <v>32</v>
      </c>
      <c r="C50" s="10" t="s">
        <v>1053</v>
      </c>
      <c r="D50" s="3"/>
      <c r="E50" s="3">
        <v>3</v>
      </c>
      <c r="F50" s="3">
        <f t="shared" si="5"/>
        <v>163</v>
      </c>
      <c r="G50" s="3">
        <v>4943</v>
      </c>
      <c r="H50" s="5" t="s">
        <v>1054</v>
      </c>
    </row>
    <row r="51" spans="1:9" ht="21" x14ac:dyDescent="0.7">
      <c r="A51" s="2">
        <v>49</v>
      </c>
      <c r="B51" s="8" t="s">
        <v>32</v>
      </c>
      <c r="C51" s="10" t="s">
        <v>1058</v>
      </c>
      <c r="D51" s="3"/>
      <c r="E51" s="3">
        <v>1</v>
      </c>
      <c r="F51" s="3">
        <f t="shared" si="5"/>
        <v>162</v>
      </c>
      <c r="G51" s="3">
        <v>4946</v>
      </c>
      <c r="H51" s="5" t="s">
        <v>1060</v>
      </c>
    </row>
    <row r="52" spans="1:9" ht="21" x14ac:dyDescent="0.7">
      <c r="A52" s="2">
        <v>50</v>
      </c>
      <c r="B52" s="8" t="s">
        <v>32</v>
      </c>
      <c r="C52" s="10" t="s">
        <v>1062</v>
      </c>
      <c r="D52" s="3"/>
      <c r="E52" s="3">
        <v>1</v>
      </c>
      <c r="F52" s="3">
        <f t="shared" ref="F52:F57" si="6">F51-E52</f>
        <v>161</v>
      </c>
      <c r="G52" s="3" t="s">
        <v>1063</v>
      </c>
      <c r="H52" s="5" t="s">
        <v>52</v>
      </c>
    </row>
    <row r="53" spans="1:9" ht="21" x14ac:dyDescent="0.7">
      <c r="A53" s="2">
        <v>51</v>
      </c>
      <c r="B53" s="8" t="s">
        <v>32</v>
      </c>
      <c r="C53" s="10" t="s">
        <v>1076</v>
      </c>
      <c r="D53" s="3"/>
      <c r="E53" s="3">
        <v>2</v>
      </c>
      <c r="F53" s="3">
        <f t="shared" si="6"/>
        <v>159</v>
      </c>
      <c r="G53" s="3">
        <v>4982</v>
      </c>
      <c r="H53" s="5" t="s">
        <v>359</v>
      </c>
    </row>
    <row r="54" spans="1:9" ht="21" x14ac:dyDescent="0.7">
      <c r="A54" s="2">
        <v>52</v>
      </c>
      <c r="B54" s="8" t="s">
        <v>32</v>
      </c>
      <c r="C54" s="10" t="s">
        <v>1111</v>
      </c>
      <c r="D54" s="3"/>
      <c r="E54" s="3">
        <v>1</v>
      </c>
      <c r="F54" s="3">
        <f t="shared" si="6"/>
        <v>158</v>
      </c>
      <c r="G54" s="3">
        <v>5045</v>
      </c>
      <c r="H54" s="5" t="s">
        <v>1112</v>
      </c>
    </row>
    <row r="55" spans="1:9" ht="21" x14ac:dyDescent="0.7">
      <c r="A55" s="2">
        <v>53</v>
      </c>
      <c r="B55" s="8" t="s">
        <v>32</v>
      </c>
      <c r="C55" s="10" t="s">
        <v>1118</v>
      </c>
      <c r="D55" s="3"/>
      <c r="E55" s="3">
        <v>3</v>
      </c>
      <c r="F55" s="3">
        <f t="shared" si="6"/>
        <v>155</v>
      </c>
      <c r="G55" s="3">
        <v>5077</v>
      </c>
      <c r="H55" s="5" t="s">
        <v>1087</v>
      </c>
    </row>
    <row r="56" spans="1:9" ht="21" x14ac:dyDescent="0.7">
      <c r="A56" s="2">
        <v>54</v>
      </c>
      <c r="B56" s="8" t="s">
        <v>32</v>
      </c>
      <c r="C56" s="10" t="s">
        <v>1127</v>
      </c>
      <c r="D56" s="3"/>
      <c r="E56" s="3">
        <v>10</v>
      </c>
      <c r="F56" s="3">
        <f t="shared" si="6"/>
        <v>145</v>
      </c>
      <c r="G56" s="3">
        <v>5092</v>
      </c>
      <c r="H56" s="5" t="s">
        <v>1129</v>
      </c>
    </row>
    <row r="57" spans="1:9" ht="21" x14ac:dyDescent="0.7">
      <c r="A57" s="2">
        <v>55</v>
      </c>
      <c r="B57" s="8" t="s">
        <v>32</v>
      </c>
      <c r="C57" s="10" t="s">
        <v>1164</v>
      </c>
      <c r="D57" s="3"/>
      <c r="E57" s="3">
        <v>10</v>
      </c>
      <c r="F57" s="3">
        <f t="shared" si="6"/>
        <v>135</v>
      </c>
      <c r="G57" s="3">
        <v>5129</v>
      </c>
      <c r="H57" s="5" t="s">
        <v>80</v>
      </c>
    </row>
    <row r="58" spans="1:9" ht="21" x14ac:dyDescent="0.7">
      <c r="A58" s="2">
        <v>56</v>
      </c>
      <c r="B58" s="8" t="s">
        <v>32</v>
      </c>
      <c r="C58" s="10" t="s">
        <v>1171</v>
      </c>
      <c r="D58" s="3"/>
      <c r="E58" s="3">
        <v>3</v>
      </c>
      <c r="F58" s="3">
        <f t="shared" ref="F58:F63" si="7">F57-E58</f>
        <v>132</v>
      </c>
      <c r="G58" s="3">
        <v>5134</v>
      </c>
      <c r="H58" s="5" t="s">
        <v>1087</v>
      </c>
    </row>
    <row r="59" spans="1:9" ht="21" x14ac:dyDescent="0.7">
      <c r="A59" s="2">
        <v>57</v>
      </c>
      <c r="B59" s="8" t="s">
        <v>32</v>
      </c>
      <c r="C59" s="10" t="s">
        <v>1188</v>
      </c>
      <c r="D59" s="3"/>
      <c r="E59" s="3">
        <v>60</v>
      </c>
      <c r="F59" s="3">
        <f t="shared" si="7"/>
        <v>72</v>
      </c>
      <c r="G59" s="3">
        <v>5154</v>
      </c>
      <c r="H59" s="5" t="s">
        <v>79</v>
      </c>
    </row>
    <row r="60" spans="1:9" ht="21" x14ac:dyDescent="0.7">
      <c r="A60" s="2">
        <v>58</v>
      </c>
      <c r="B60" s="8" t="s">
        <v>32</v>
      </c>
      <c r="C60" s="10" t="s">
        <v>1221</v>
      </c>
      <c r="D60" s="3"/>
      <c r="E60" s="3">
        <v>1</v>
      </c>
      <c r="F60" s="3">
        <f t="shared" si="7"/>
        <v>71</v>
      </c>
      <c r="G60" s="3">
        <v>5197</v>
      </c>
      <c r="H60" s="5" t="s">
        <v>863</v>
      </c>
    </row>
    <row r="61" spans="1:9" ht="21" x14ac:dyDescent="0.7">
      <c r="A61" s="2">
        <v>59</v>
      </c>
      <c r="B61" s="8" t="s">
        <v>32</v>
      </c>
      <c r="C61" s="10" t="s">
        <v>1255</v>
      </c>
      <c r="D61" s="3"/>
      <c r="E61" s="3">
        <v>7</v>
      </c>
      <c r="F61" s="3">
        <f t="shared" si="7"/>
        <v>64</v>
      </c>
      <c r="G61" s="3">
        <v>5246</v>
      </c>
      <c r="H61" s="5" t="s">
        <v>1256</v>
      </c>
    </row>
    <row r="62" spans="1:9" ht="21" x14ac:dyDescent="0.7">
      <c r="A62" s="2">
        <v>60</v>
      </c>
      <c r="B62" s="8" t="s">
        <v>32</v>
      </c>
      <c r="C62" s="10" t="s">
        <v>1261</v>
      </c>
      <c r="D62" s="3"/>
      <c r="E62" s="3">
        <v>20</v>
      </c>
      <c r="F62" s="3">
        <f t="shared" si="7"/>
        <v>44</v>
      </c>
      <c r="G62" s="3">
        <v>5249</v>
      </c>
      <c r="H62" s="5" t="s">
        <v>1256</v>
      </c>
    </row>
    <row r="63" spans="1:9" ht="21" x14ac:dyDescent="0.7">
      <c r="A63" s="2">
        <v>61</v>
      </c>
      <c r="B63" s="8" t="s">
        <v>32</v>
      </c>
      <c r="C63" s="10" t="s">
        <v>1284</v>
      </c>
      <c r="D63" s="3"/>
      <c r="E63" s="3">
        <v>1</v>
      </c>
      <c r="F63" s="3">
        <f t="shared" si="7"/>
        <v>43</v>
      </c>
      <c r="G63" s="3" t="s">
        <v>1286</v>
      </c>
      <c r="H63" s="5" t="s">
        <v>52</v>
      </c>
      <c r="I63" t="s">
        <v>1259</v>
      </c>
    </row>
    <row r="64" spans="1:9" ht="21" x14ac:dyDescent="0.7">
      <c r="A64" s="2">
        <v>62</v>
      </c>
      <c r="B64" s="8" t="s">
        <v>32</v>
      </c>
      <c r="C64" s="10" t="s">
        <v>1372</v>
      </c>
      <c r="D64" s="3">
        <v>120</v>
      </c>
      <c r="E64" s="3"/>
      <c r="F64" s="3">
        <f>F63+D64</f>
        <v>163</v>
      </c>
      <c r="G64" s="3"/>
      <c r="H64" s="19" t="s">
        <v>1371</v>
      </c>
      <c r="I64" t="s">
        <v>1260</v>
      </c>
    </row>
    <row r="65" spans="1:8" ht="21" x14ac:dyDescent="0.7">
      <c r="A65" s="2">
        <v>63</v>
      </c>
      <c r="B65" s="8" t="s">
        <v>32</v>
      </c>
      <c r="C65" s="10" t="s">
        <v>1382</v>
      </c>
      <c r="D65" s="3"/>
      <c r="E65" s="3">
        <v>2</v>
      </c>
      <c r="F65" s="3">
        <f t="shared" ref="F65:F70" si="8">F64-E65</f>
        <v>161</v>
      </c>
      <c r="G65" s="3">
        <v>5396</v>
      </c>
      <c r="H65" s="5" t="s">
        <v>150</v>
      </c>
    </row>
    <row r="66" spans="1:8" ht="21" x14ac:dyDescent="0.7">
      <c r="A66" s="2">
        <v>64</v>
      </c>
      <c r="B66" s="8" t="s">
        <v>32</v>
      </c>
      <c r="C66" s="10" t="s">
        <v>1408</v>
      </c>
      <c r="D66" s="3"/>
      <c r="E66" s="3">
        <v>20</v>
      </c>
      <c r="F66" s="3">
        <f t="shared" si="8"/>
        <v>141</v>
      </c>
      <c r="G66" s="3">
        <v>5415</v>
      </c>
      <c r="H66" s="5" t="s">
        <v>412</v>
      </c>
    </row>
    <row r="67" spans="1:8" ht="21" x14ac:dyDescent="0.7">
      <c r="A67" s="2">
        <v>65</v>
      </c>
      <c r="B67" s="8" t="s">
        <v>32</v>
      </c>
      <c r="C67" s="10" t="s">
        <v>1419</v>
      </c>
      <c r="D67" s="3"/>
      <c r="E67" s="3">
        <v>1</v>
      </c>
      <c r="F67" s="3">
        <f t="shared" si="8"/>
        <v>140</v>
      </c>
      <c r="G67" s="3" t="s">
        <v>1421</v>
      </c>
      <c r="H67" s="5" t="s">
        <v>52</v>
      </c>
    </row>
    <row r="68" spans="1:8" ht="21" x14ac:dyDescent="0.7">
      <c r="A68" s="2">
        <v>66</v>
      </c>
      <c r="B68" s="8" t="s">
        <v>32</v>
      </c>
      <c r="C68" s="10" t="s">
        <v>1444</v>
      </c>
      <c r="D68" s="3"/>
      <c r="E68" s="3">
        <v>1</v>
      </c>
      <c r="F68" s="3">
        <f t="shared" si="8"/>
        <v>139</v>
      </c>
      <c r="G68" s="3">
        <v>5452</v>
      </c>
      <c r="H68" s="5" t="s">
        <v>1446</v>
      </c>
    </row>
    <row r="69" spans="1:8" ht="21" x14ac:dyDescent="0.7">
      <c r="A69" s="2">
        <v>67</v>
      </c>
      <c r="B69" s="8" t="s">
        <v>32</v>
      </c>
      <c r="C69" s="10" t="s">
        <v>1447</v>
      </c>
      <c r="D69" s="3"/>
      <c r="E69" s="3">
        <v>43</v>
      </c>
      <c r="F69" s="3">
        <f t="shared" si="8"/>
        <v>96</v>
      </c>
      <c r="G69" s="3">
        <v>5456</v>
      </c>
      <c r="H69" s="5" t="s">
        <v>412</v>
      </c>
    </row>
    <row r="70" spans="1:8" ht="21" x14ac:dyDescent="0.7">
      <c r="A70" s="2">
        <v>68</v>
      </c>
      <c r="B70" s="8" t="s">
        <v>32</v>
      </c>
      <c r="C70" s="10" t="s">
        <v>1481</v>
      </c>
      <c r="D70" s="3"/>
      <c r="E70" s="3">
        <v>1</v>
      </c>
      <c r="F70" s="3">
        <f t="shared" si="8"/>
        <v>95</v>
      </c>
      <c r="G70" s="3">
        <v>5494</v>
      </c>
      <c r="H70" s="5" t="s">
        <v>1485</v>
      </c>
    </row>
    <row r="71" spans="1:8" ht="21" x14ac:dyDescent="0.7">
      <c r="A71" s="2">
        <v>69</v>
      </c>
      <c r="B71" s="8" t="s">
        <v>32</v>
      </c>
      <c r="C71" s="10" t="s">
        <v>1481</v>
      </c>
      <c r="D71" s="3"/>
      <c r="E71" s="3">
        <v>2</v>
      </c>
      <c r="F71" s="3">
        <f t="shared" ref="F71:F76" si="9">F70-E71</f>
        <v>93</v>
      </c>
      <c r="G71" s="3">
        <v>5495</v>
      </c>
      <c r="H71" s="5" t="s">
        <v>485</v>
      </c>
    </row>
    <row r="72" spans="1:8" ht="21" x14ac:dyDescent="0.7">
      <c r="A72" s="2">
        <v>70</v>
      </c>
      <c r="B72" s="8" t="s">
        <v>32</v>
      </c>
      <c r="C72" s="10" t="s">
        <v>1512</v>
      </c>
      <c r="D72" s="3"/>
      <c r="E72" s="3">
        <v>5</v>
      </c>
      <c r="F72" s="3">
        <f t="shared" si="9"/>
        <v>88</v>
      </c>
      <c r="G72" s="3" t="s">
        <v>1514</v>
      </c>
      <c r="H72" s="5" t="s">
        <v>52</v>
      </c>
    </row>
    <row r="73" spans="1:8" ht="21" x14ac:dyDescent="0.7">
      <c r="A73" s="2">
        <v>71</v>
      </c>
      <c r="B73" s="8" t="s">
        <v>32</v>
      </c>
      <c r="C73" s="10" t="s">
        <v>1512</v>
      </c>
      <c r="D73" s="3"/>
      <c r="E73" s="3">
        <v>1</v>
      </c>
      <c r="F73" s="3">
        <f t="shared" si="9"/>
        <v>87</v>
      </c>
      <c r="G73" s="3">
        <v>5534</v>
      </c>
      <c r="H73" s="5" t="s">
        <v>1516</v>
      </c>
    </row>
    <row r="74" spans="1:8" ht="21" x14ac:dyDescent="0.7">
      <c r="A74" s="2">
        <v>72</v>
      </c>
      <c r="B74" s="8" t="s">
        <v>32</v>
      </c>
      <c r="C74" s="10" t="s">
        <v>1565</v>
      </c>
      <c r="D74" s="3"/>
      <c r="E74" s="3">
        <v>1</v>
      </c>
      <c r="F74" s="3">
        <f t="shared" si="9"/>
        <v>86</v>
      </c>
      <c r="G74" s="3" t="s">
        <v>1566</v>
      </c>
      <c r="H74" s="5" t="s">
        <v>52</v>
      </c>
    </row>
    <row r="75" spans="1:8" ht="21" x14ac:dyDescent="0.7">
      <c r="A75" s="2">
        <v>73</v>
      </c>
      <c r="B75" s="8" t="s">
        <v>32</v>
      </c>
      <c r="C75" s="10" t="s">
        <v>1569</v>
      </c>
      <c r="D75" s="3"/>
      <c r="E75" s="3">
        <v>1</v>
      </c>
      <c r="F75" s="3">
        <f t="shared" si="9"/>
        <v>85</v>
      </c>
      <c r="G75" s="3">
        <v>5625</v>
      </c>
      <c r="H75" s="5" t="s">
        <v>1571</v>
      </c>
    </row>
    <row r="76" spans="1:8" ht="21" x14ac:dyDescent="0.7">
      <c r="A76" s="2">
        <v>74</v>
      </c>
      <c r="B76" s="8" t="s">
        <v>32</v>
      </c>
      <c r="C76" s="10" t="s">
        <v>1569</v>
      </c>
      <c r="D76" s="3"/>
      <c r="E76" s="3">
        <v>1</v>
      </c>
      <c r="F76" s="3">
        <f t="shared" si="9"/>
        <v>84</v>
      </c>
      <c r="G76" s="3">
        <v>5626</v>
      </c>
      <c r="H76" s="5" t="s">
        <v>1572</v>
      </c>
    </row>
    <row r="77" spans="1:8" ht="21" x14ac:dyDescent="0.7">
      <c r="A77" s="2">
        <v>75</v>
      </c>
      <c r="B77" s="8" t="s">
        <v>32</v>
      </c>
      <c r="C77" s="10" t="s">
        <v>1602</v>
      </c>
      <c r="D77" s="3"/>
      <c r="E77" s="3">
        <v>1</v>
      </c>
      <c r="F77" s="3">
        <f t="shared" ref="F77:F82" si="10">F76-E77</f>
        <v>83</v>
      </c>
      <c r="G77" s="3">
        <v>5681</v>
      </c>
      <c r="H77" s="5" t="s">
        <v>359</v>
      </c>
    </row>
    <row r="78" spans="1:8" ht="21" x14ac:dyDescent="0.7">
      <c r="A78" s="2">
        <v>76</v>
      </c>
      <c r="B78" s="8" t="s">
        <v>32</v>
      </c>
      <c r="C78" s="10" t="s">
        <v>1626</v>
      </c>
      <c r="D78" s="3"/>
      <c r="E78" s="3">
        <v>1</v>
      </c>
      <c r="F78" s="3">
        <f t="shared" si="10"/>
        <v>82</v>
      </c>
      <c r="G78" s="3" t="s">
        <v>1627</v>
      </c>
      <c r="H78" s="5" t="s">
        <v>52</v>
      </c>
    </row>
    <row r="79" spans="1:8" ht="21" x14ac:dyDescent="0.7">
      <c r="A79" s="2">
        <v>77</v>
      </c>
      <c r="B79" s="8" t="s">
        <v>32</v>
      </c>
      <c r="C79" s="10" t="s">
        <v>1629</v>
      </c>
      <c r="D79" s="3"/>
      <c r="E79" s="3">
        <v>1</v>
      </c>
      <c r="F79" s="3">
        <f t="shared" si="10"/>
        <v>81</v>
      </c>
      <c r="G79" s="3" t="s">
        <v>1630</v>
      </c>
      <c r="H79" s="5" t="s">
        <v>52</v>
      </c>
    </row>
    <row r="80" spans="1:8" ht="21" x14ac:dyDescent="0.7">
      <c r="A80" s="2">
        <v>78</v>
      </c>
      <c r="B80" s="8" t="s">
        <v>32</v>
      </c>
      <c r="C80" s="10" t="s">
        <v>1635</v>
      </c>
      <c r="D80" s="3"/>
      <c r="E80" s="3">
        <v>1</v>
      </c>
      <c r="F80" s="3">
        <f t="shared" si="10"/>
        <v>80</v>
      </c>
      <c r="G80" s="3" t="s">
        <v>1637</v>
      </c>
      <c r="H80" s="5" t="s">
        <v>185</v>
      </c>
    </row>
    <row r="81" spans="1:9" ht="21" x14ac:dyDescent="0.7">
      <c r="A81" s="2">
        <v>79</v>
      </c>
      <c r="B81" s="8" t="s">
        <v>32</v>
      </c>
      <c r="C81" s="10" t="s">
        <v>1657</v>
      </c>
      <c r="D81" s="3"/>
      <c r="E81" s="3">
        <v>2</v>
      </c>
      <c r="F81" s="3">
        <f t="shared" si="10"/>
        <v>78</v>
      </c>
      <c r="G81" s="3">
        <v>5749</v>
      </c>
      <c r="H81" s="5" t="s">
        <v>1545</v>
      </c>
    </row>
    <row r="82" spans="1:9" ht="21" x14ac:dyDescent="0.7">
      <c r="A82" s="2">
        <v>80</v>
      </c>
      <c r="B82" s="8" t="s">
        <v>32</v>
      </c>
      <c r="C82" s="10" t="s">
        <v>1659</v>
      </c>
      <c r="D82" s="3"/>
      <c r="E82" s="3">
        <v>1</v>
      </c>
      <c r="F82" s="3">
        <f t="shared" si="10"/>
        <v>77</v>
      </c>
      <c r="G82" s="3">
        <v>5750</v>
      </c>
      <c r="H82" s="5" t="s">
        <v>1571</v>
      </c>
    </row>
    <row r="83" spans="1:9" ht="21" x14ac:dyDescent="0.7">
      <c r="A83" s="2">
        <v>81</v>
      </c>
      <c r="B83" s="8" t="s">
        <v>32</v>
      </c>
      <c r="C83" s="10" t="s">
        <v>1696</v>
      </c>
      <c r="D83" s="3"/>
      <c r="E83" s="3">
        <v>2</v>
      </c>
      <c r="F83" s="3">
        <f>F82-E83</f>
        <v>75</v>
      </c>
      <c r="G83" s="3" t="s">
        <v>1697</v>
      </c>
      <c r="H83" s="5" t="s">
        <v>52</v>
      </c>
    </row>
    <row r="84" spans="1:9" ht="21" x14ac:dyDescent="0.7">
      <c r="A84" s="2">
        <v>82</v>
      </c>
      <c r="B84" s="8" t="s">
        <v>32</v>
      </c>
      <c r="C84" s="10" t="s">
        <v>1699</v>
      </c>
      <c r="D84" s="3"/>
      <c r="E84" s="3">
        <v>1</v>
      </c>
      <c r="F84" s="3">
        <f>F83-E84</f>
        <v>74</v>
      </c>
      <c r="G84" s="3">
        <v>5831</v>
      </c>
      <c r="H84" s="5" t="s">
        <v>1620</v>
      </c>
    </row>
    <row r="85" spans="1:9" ht="21" x14ac:dyDescent="0.7">
      <c r="A85" s="2">
        <v>83</v>
      </c>
      <c r="B85" s="8" t="s">
        <v>32</v>
      </c>
      <c r="C85" s="10" t="s">
        <v>1708</v>
      </c>
      <c r="D85" s="3">
        <v>48</v>
      </c>
      <c r="E85" s="3"/>
      <c r="F85" s="3">
        <f>F84+D85</f>
        <v>122</v>
      </c>
      <c r="G85" s="3"/>
      <c r="H85" s="19" t="s">
        <v>1707</v>
      </c>
    </row>
    <row r="86" spans="1:9" ht="21" x14ac:dyDescent="0.7">
      <c r="A86" s="2">
        <v>84</v>
      </c>
      <c r="B86" s="8" t="s">
        <v>32</v>
      </c>
      <c r="C86" s="10" t="s">
        <v>1712</v>
      </c>
      <c r="D86" s="3"/>
      <c r="E86" s="3">
        <v>1</v>
      </c>
      <c r="F86" s="3">
        <f t="shared" ref="F86:F92" si="11">F85-E86</f>
        <v>121</v>
      </c>
      <c r="G86" s="3">
        <v>5853</v>
      </c>
      <c r="H86" s="5" t="s">
        <v>1673</v>
      </c>
    </row>
    <row r="87" spans="1:9" ht="21" x14ac:dyDescent="0.7">
      <c r="A87" s="2">
        <v>85</v>
      </c>
      <c r="B87" s="8" t="s">
        <v>32</v>
      </c>
      <c r="C87" s="10" t="s">
        <v>1728</v>
      </c>
      <c r="D87" s="3"/>
      <c r="E87" s="3">
        <v>1</v>
      </c>
      <c r="F87" s="3">
        <f t="shared" si="11"/>
        <v>120</v>
      </c>
      <c r="G87" s="3">
        <v>5877</v>
      </c>
      <c r="H87" s="5" t="s">
        <v>1571</v>
      </c>
    </row>
    <row r="88" spans="1:9" ht="21" x14ac:dyDescent="0.7">
      <c r="A88" s="2">
        <v>86</v>
      </c>
      <c r="B88" s="8" t="s">
        <v>32</v>
      </c>
      <c r="C88" s="10" t="s">
        <v>1755</v>
      </c>
      <c r="D88" s="3"/>
      <c r="E88" s="3">
        <v>1</v>
      </c>
      <c r="F88" s="3">
        <f t="shared" si="11"/>
        <v>119</v>
      </c>
      <c r="G88" s="3" t="s">
        <v>1756</v>
      </c>
      <c r="H88" s="5" t="s">
        <v>52</v>
      </c>
    </row>
    <row r="89" spans="1:9" ht="21" x14ac:dyDescent="0.7">
      <c r="A89" s="2">
        <v>87</v>
      </c>
      <c r="B89" s="8" t="s">
        <v>32</v>
      </c>
      <c r="C89" s="10" t="s">
        <v>1779</v>
      </c>
      <c r="D89" s="3"/>
      <c r="E89" s="3">
        <v>10</v>
      </c>
      <c r="F89" s="3">
        <f t="shared" si="11"/>
        <v>109</v>
      </c>
      <c r="G89" s="3" t="s">
        <v>1780</v>
      </c>
      <c r="H89" s="5" t="s">
        <v>52</v>
      </c>
    </row>
    <row r="90" spans="1:9" ht="21" x14ac:dyDescent="0.7">
      <c r="A90" s="2">
        <v>88</v>
      </c>
      <c r="B90" s="8" t="s">
        <v>32</v>
      </c>
      <c r="C90" s="10" t="s">
        <v>1784</v>
      </c>
      <c r="D90" s="3"/>
      <c r="E90" s="3">
        <v>1</v>
      </c>
      <c r="F90" s="3">
        <f t="shared" si="11"/>
        <v>108</v>
      </c>
      <c r="G90" s="3">
        <v>5987</v>
      </c>
      <c r="H90" s="5" t="s">
        <v>1786</v>
      </c>
    </row>
    <row r="91" spans="1:9" ht="21" x14ac:dyDescent="0.7">
      <c r="A91" s="2">
        <v>89</v>
      </c>
      <c r="B91" s="8" t="s">
        <v>32</v>
      </c>
      <c r="C91" s="10" t="s">
        <v>1784</v>
      </c>
      <c r="D91" s="3"/>
      <c r="E91" s="3">
        <v>1</v>
      </c>
      <c r="F91" s="3">
        <f t="shared" si="11"/>
        <v>107</v>
      </c>
      <c r="G91" s="3">
        <v>5988</v>
      </c>
      <c r="H91" s="5" t="s">
        <v>1786</v>
      </c>
    </row>
    <row r="92" spans="1:9" ht="21" x14ac:dyDescent="0.7">
      <c r="A92" s="2">
        <v>90</v>
      </c>
      <c r="B92" s="8" t="s">
        <v>32</v>
      </c>
      <c r="C92" s="10" t="s">
        <v>1784</v>
      </c>
      <c r="D92" s="3"/>
      <c r="E92" s="3">
        <v>1</v>
      </c>
      <c r="F92" s="3">
        <f t="shared" si="11"/>
        <v>106</v>
      </c>
      <c r="G92" s="3">
        <v>5989</v>
      </c>
      <c r="H92" s="5" t="s">
        <v>1786</v>
      </c>
    </row>
    <row r="93" spans="1:9" ht="21" x14ac:dyDescent="0.7">
      <c r="A93" s="2">
        <v>91</v>
      </c>
      <c r="B93" s="8" t="s">
        <v>32</v>
      </c>
      <c r="C93" s="10" t="s">
        <v>1788</v>
      </c>
      <c r="D93" s="3"/>
      <c r="E93" s="3">
        <v>1</v>
      </c>
      <c r="F93" s="3">
        <f t="shared" ref="F93:F98" si="12">F92-E93</f>
        <v>105</v>
      </c>
      <c r="G93" s="3" t="s">
        <v>1789</v>
      </c>
      <c r="H93" s="5" t="s">
        <v>52</v>
      </c>
    </row>
    <row r="94" spans="1:9" ht="21" x14ac:dyDescent="0.7">
      <c r="A94" s="2">
        <v>92</v>
      </c>
      <c r="B94" s="8" t="s">
        <v>32</v>
      </c>
      <c r="C94" s="10" t="s">
        <v>1806</v>
      </c>
      <c r="D94" s="3"/>
      <c r="E94" s="3">
        <v>25</v>
      </c>
      <c r="F94" s="3">
        <f t="shared" si="12"/>
        <v>80</v>
      </c>
      <c r="G94" s="3">
        <v>6035</v>
      </c>
      <c r="H94" s="5" t="s">
        <v>80</v>
      </c>
    </row>
    <row r="95" spans="1:9" ht="21" x14ac:dyDescent="0.7">
      <c r="A95" s="2">
        <v>93</v>
      </c>
      <c r="B95" s="8" t="s">
        <v>32</v>
      </c>
      <c r="C95" s="10" t="s">
        <v>1811</v>
      </c>
      <c r="D95" s="3"/>
      <c r="E95" s="3">
        <v>1</v>
      </c>
      <c r="F95" s="3">
        <f t="shared" si="12"/>
        <v>79</v>
      </c>
      <c r="G95" s="3" t="s">
        <v>1812</v>
      </c>
      <c r="H95" s="5" t="s">
        <v>185</v>
      </c>
    </row>
    <row r="96" spans="1:9" ht="21" x14ac:dyDescent="0.7">
      <c r="A96" s="2">
        <v>94</v>
      </c>
      <c r="B96" s="8" t="s">
        <v>32</v>
      </c>
      <c r="C96" s="10" t="s">
        <v>1807</v>
      </c>
      <c r="D96" s="3"/>
      <c r="E96" s="3">
        <v>20</v>
      </c>
      <c r="F96" s="3">
        <f t="shared" si="12"/>
        <v>59</v>
      </c>
      <c r="G96" s="3" t="s">
        <v>1816</v>
      </c>
      <c r="H96" s="5" t="s">
        <v>1817</v>
      </c>
      <c r="I96" t="s">
        <v>1818</v>
      </c>
    </row>
    <row r="97" spans="1:9" ht="21" x14ac:dyDescent="0.7">
      <c r="A97" s="2">
        <v>95</v>
      </c>
      <c r="B97" s="8" t="s">
        <v>32</v>
      </c>
      <c r="C97" s="10" t="s">
        <v>1830</v>
      </c>
      <c r="D97" s="3"/>
      <c r="E97" s="3">
        <v>1</v>
      </c>
      <c r="F97" s="3">
        <f t="shared" si="12"/>
        <v>58</v>
      </c>
      <c r="G97" s="3" t="s">
        <v>1828</v>
      </c>
      <c r="H97" s="5" t="s">
        <v>52</v>
      </c>
    </row>
    <row r="98" spans="1:9" ht="21" x14ac:dyDescent="0.7">
      <c r="A98" s="2">
        <v>96</v>
      </c>
      <c r="B98" s="8" t="s">
        <v>32</v>
      </c>
      <c r="C98" s="10" t="s">
        <v>1832</v>
      </c>
      <c r="D98" s="3"/>
      <c r="E98" s="3">
        <v>10</v>
      </c>
      <c r="F98" s="3">
        <f t="shared" si="12"/>
        <v>48</v>
      </c>
      <c r="G98" s="3">
        <v>6063</v>
      </c>
      <c r="H98" s="5" t="s">
        <v>80</v>
      </c>
      <c r="I98" t="s">
        <v>1848</v>
      </c>
    </row>
    <row r="99" spans="1:9" ht="21" x14ac:dyDescent="0.7">
      <c r="A99" s="2">
        <v>97</v>
      </c>
      <c r="B99" s="8" t="s">
        <v>32</v>
      </c>
      <c r="C99" s="10" t="s">
        <v>1849</v>
      </c>
      <c r="D99" s="3">
        <v>64</v>
      </c>
      <c r="E99" s="3"/>
      <c r="F99" s="3">
        <f>F98+D99</f>
        <v>112</v>
      </c>
      <c r="G99" s="3"/>
      <c r="H99" s="25" t="s">
        <v>1850</v>
      </c>
    </row>
    <row r="100" spans="1:9" ht="21" x14ac:dyDescent="0.7">
      <c r="A100" s="2">
        <v>98</v>
      </c>
      <c r="B100" s="8" t="s">
        <v>32</v>
      </c>
      <c r="C100" s="10" t="s">
        <v>1886</v>
      </c>
      <c r="D100" s="3"/>
      <c r="E100" s="3">
        <v>1</v>
      </c>
      <c r="F100" s="3">
        <f>F99-E100</f>
        <v>111</v>
      </c>
      <c r="G100" s="3">
        <v>6119</v>
      </c>
      <c r="H100" s="5" t="s">
        <v>1571</v>
      </c>
    </row>
    <row r="101" spans="1:9" ht="21" x14ac:dyDescent="0.7">
      <c r="A101" s="2">
        <v>99</v>
      </c>
      <c r="B101" s="8" t="s">
        <v>32</v>
      </c>
      <c r="C101" s="10" t="s">
        <v>1891</v>
      </c>
      <c r="D101" s="3"/>
      <c r="E101" s="3">
        <v>9</v>
      </c>
      <c r="F101" s="3">
        <f>F100-E101</f>
        <v>102</v>
      </c>
      <c r="G101" s="3">
        <v>6128</v>
      </c>
      <c r="H101" s="5" t="s">
        <v>1817</v>
      </c>
    </row>
    <row r="102" spans="1:9" ht="21" x14ac:dyDescent="0.7">
      <c r="A102" s="2">
        <v>100</v>
      </c>
      <c r="B102" s="8" t="s">
        <v>32</v>
      </c>
      <c r="C102" s="10" t="s">
        <v>1894</v>
      </c>
      <c r="D102" s="3"/>
      <c r="E102" s="3">
        <v>74</v>
      </c>
      <c r="F102" s="3">
        <f>F101-E102</f>
        <v>28</v>
      </c>
      <c r="G102" s="3">
        <v>6131</v>
      </c>
      <c r="H102" s="5" t="s">
        <v>1817</v>
      </c>
    </row>
    <row r="103" spans="1:9" ht="21" x14ac:dyDescent="0.7">
      <c r="A103" s="2">
        <v>101</v>
      </c>
      <c r="B103" s="8" t="s">
        <v>32</v>
      </c>
      <c r="C103" s="10"/>
      <c r="D103" s="3"/>
      <c r="E103" s="3"/>
      <c r="F103" s="3">
        <v>0</v>
      </c>
      <c r="G103" s="50" t="s">
        <v>1950</v>
      </c>
      <c r="H103" s="51"/>
    </row>
    <row r="104" spans="1:9" ht="21" x14ac:dyDescent="0.7">
      <c r="A104" s="2">
        <v>102</v>
      </c>
      <c r="B104" s="8" t="s">
        <v>32</v>
      </c>
      <c r="C104" s="10" t="s">
        <v>1934</v>
      </c>
      <c r="D104" s="3">
        <v>72</v>
      </c>
      <c r="E104" s="3"/>
      <c r="F104" s="3">
        <v>72</v>
      </c>
      <c r="G104" s="3"/>
      <c r="H104" s="25" t="s">
        <v>1936</v>
      </c>
    </row>
    <row r="105" spans="1:9" ht="21" x14ac:dyDescent="0.7">
      <c r="A105" s="2">
        <v>103</v>
      </c>
      <c r="B105" s="8" t="s">
        <v>32</v>
      </c>
      <c r="C105" s="10" t="s">
        <v>1945</v>
      </c>
      <c r="D105" s="3"/>
      <c r="E105" s="3">
        <v>22</v>
      </c>
      <c r="F105" s="3">
        <f>F104-E105</f>
        <v>50</v>
      </c>
      <c r="G105" s="3">
        <v>6235</v>
      </c>
      <c r="H105" s="5" t="s">
        <v>1817</v>
      </c>
    </row>
    <row r="106" spans="1:9" ht="21" x14ac:dyDescent="0.7">
      <c r="A106" s="2">
        <v>104</v>
      </c>
      <c r="B106" s="8" t="s">
        <v>32</v>
      </c>
      <c r="C106" s="10" t="s">
        <v>2031</v>
      </c>
      <c r="D106" s="3"/>
      <c r="E106" s="3">
        <v>1</v>
      </c>
      <c r="F106" s="3">
        <f>F105-E106</f>
        <v>49</v>
      </c>
      <c r="G106" s="3">
        <v>6297</v>
      </c>
      <c r="H106" s="5" t="s">
        <v>1571</v>
      </c>
    </row>
    <row r="107" spans="1:9" ht="21" x14ac:dyDescent="0.7">
      <c r="A107" s="2">
        <v>105</v>
      </c>
      <c r="B107" s="8" t="s">
        <v>32</v>
      </c>
      <c r="C107" s="10" t="s">
        <v>2063</v>
      </c>
      <c r="D107" s="3"/>
      <c r="E107" s="3">
        <v>1</v>
      </c>
      <c r="F107" s="3">
        <f>F106-E107</f>
        <v>48</v>
      </c>
      <c r="G107" s="3">
        <v>6328</v>
      </c>
      <c r="H107" s="5" t="s">
        <v>1571</v>
      </c>
    </row>
    <row r="108" spans="1:9" ht="21" x14ac:dyDescent="0.7">
      <c r="A108" s="2">
        <v>106</v>
      </c>
      <c r="B108" s="8" t="s">
        <v>32</v>
      </c>
      <c r="C108" s="10" t="s">
        <v>2071</v>
      </c>
      <c r="D108" s="3"/>
      <c r="E108" s="3">
        <v>5</v>
      </c>
      <c r="F108" s="3">
        <f>F107-E108</f>
        <v>43</v>
      </c>
      <c r="G108" s="3">
        <v>6337</v>
      </c>
      <c r="H108" s="5" t="s">
        <v>1571</v>
      </c>
    </row>
    <row r="109" spans="1:9" ht="21" x14ac:dyDescent="0.7">
      <c r="A109" s="2">
        <v>107</v>
      </c>
      <c r="B109" s="8" t="s">
        <v>32</v>
      </c>
      <c r="C109" s="10" t="s">
        <v>2080</v>
      </c>
      <c r="D109" s="3">
        <v>40</v>
      </c>
      <c r="E109" s="3"/>
      <c r="F109" s="3">
        <f>F108+D109</f>
        <v>83</v>
      </c>
      <c r="G109" s="3"/>
      <c r="H109" s="19" t="s">
        <v>2081</v>
      </c>
    </row>
    <row r="110" spans="1:9" ht="21" x14ac:dyDescent="0.7">
      <c r="A110" s="2">
        <v>108</v>
      </c>
      <c r="B110" s="8" t="s">
        <v>32</v>
      </c>
      <c r="C110" s="10" t="s">
        <v>2086</v>
      </c>
      <c r="D110" s="3"/>
      <c r="E110" s="3">
        <v>1</v>
      </c>
      <c r="F110" s="3">
        <f t="shared" ref="F110:F115" si="13">F109-E110</f>
        <v>82</v>
      </c>
      <c r="G110" s="3" t="s">
        <v>2087</v>
      </c>
      <c r="H110" s="5" t="s">
        <v>52</v>
      </c>
    </row>
    <row r="111" spans="1:9" ht="21" x14ac:dyDescent="0.7">
      <c r="A111" s="2">
        <v>109</v>
      </c>
      <c r="B111" s="8" t="s">
        <v>32</v>
      </c>
      <c r="C111" s="10" t="s">
        <v>2108</v>
      </c>
      <c r="D111" s="3"/>
      <c r="E111" s="3">
        <v>1</v>
      </c>
      <c r="F111" s="3">
        <f t="shared" si="13"/>
        <v>81</v>
      </c>
      <c r="G111" s="3">
        <v>6390</v>
      </c>
      <c r="H111" s="5" t="s">
        <v>2109</v>
      </c>
    </row>
    <row r="112" spans="1:9" ht="21" x14ac:dyDescent="0.7">
      <c r="A112" s="2">
        <v>110</v>
      </c>
      <c r="B112" s="8" t="s">
        <v>32</v>
      </c>
      <c r="C112" s="10" t="s">
        <v>2120</v>
      </c>
      <c r="D112" s="3"/>
      <c r="E112" s="3">
        <v>1</v>
      </c>
      <c r="F112" s="3">
        <f t="shared" si="13"/>
        <v>80</v>
      </c>
      <c r="G112" s="3">
        <v>6413</v>
      </c>
      <c r="H112" s="5" t="s">
        <v>1087</v>
      </c>
    </row>
    <row r="113" spans="1:8" ht="21" x14ac:dyDescent="0.7">
      <c r="A113" s="2">
        <v>111</v>
      </c>
      <c r="B113" s="8" t="s">
        <v>32</v>
      </c>
      <c r="C113" s="10" t="s">
        <v>2124</v>
      </c>
      <c r="D113" s="3"/>
      <c r="E113" s="3">
        <v>5</v>
      </c>
      <c r="F113" s="3">
        <f t="shared" si="13"/>
        <v>75</v>
      </c>
      <c r="G113" s="3">
        <v>6419</v>
      </c>
      <c r="H113" s="5" t="s">
        <v>738</v>
      </c>
    </row>
    <row r="114" spans="1:8" ht="21" x14ac:dyDescent="0.7">
      <c r="A114" s="2">
        <v>112</v>
      </c>
      <c r="B114" s="8" t="s">
        <v>32</v>
      </c>
      <c r="C114" s="10" t="s">
        <v>2149</v>
      </c>
      <c r="D114" s="3"/>
      <c r="E114" s="3">
        <v>3</v>
      </c>
      <c r="F114" s="3">
        <f t="shared" si="13"/>
        <v>72</v>
      </c>
      <c r="G114" s="3" t="s">
        <v>2150</v>
      </c>
      <c r="H114" s="5" t="s">
        <v>52</v>
      </c>
    </row>
    <row r="115" spans="1:8" ht="21" x14ac:dyDescent="0.7">
      <c r="A115" s="2">
        <v>113</v>
      </c>
      <c r="B115" s="8" t="s">
        <v>32</v>
      </c>
      <c r="C115" s="10" t="s">
        <v>2157</v>
      </c>
      <c r="D115" s="3"/>
      <c r="E115" s="3">
        <v>4</v>
      </c>
      <c r="F115" s="3">
        <f t="shared" si="13"/>
        <v>68</v>
      </c>
      <c r="G115" s="3">
        <v>6456</v>
      </c>
      <c r="H115" s="5" t="s">
        <v>1309</v>
      </c>
    </row>
    <row r="116" spans="1:8" ht="21" x14ac:dyDescent="0.7">
      <c r="A116" s="2">
        <v>114</v>
      </c>
      <c r="B116" s="8" t="s">
        <v>32</v>
      </c>
      <c r="C116" s="10" t="s">
        <v>2160</v>
      </c>
      <c r="D116" s="3"/>
      <c r="E116" s="3">
        <v>2</v>
      </c>
      <c r="F116" s="3">
        <f t="shared" ref="F116:F121" si="14">F115-E116</f>
        <v>66</v>
      </c>
      <c r="G116" s="3">
        <v>6458</v>
      </c>
      <c r="H116" s="5" t="s">
        <v>1087</v>
      </c>
    </row>
    <row r="117" spans="1:8" ht="21" x14ac:dyDescent="0.7">
      <c r="A117" s="2">
        <v>115</v>
      </c>
      <c r="B117" s="8" t="s">
        <v>32</v>
      </c>
      <c r="C117" s="10" t="s">
        <v>2171</v>
      </c>
      <c r="D117" s="3"/>
      <c r="E117" s="3">
        <v>1</v>
      </c>
      <c r="F117" s="3">
        <f t="shared" si="14"/>
        <v>65</v>
      </c>
      <c r="G117" s="3" t="s">
        <v>2172</v>
      </c>
      <c r="H117" s="5" t="s">
        <v>52</v>
      </c>
    </row>
    <row r="118" spans="1:8" ht="21" x14ac:dyDescent="0.7">
      <c r="A118" s="2">
        <v>116</v>
      </c>
      <c r="B118" s="8" t="s">
        <v>32</v>
      </c>
      <c r="C118" s="10" t="s">
        <v>2186</v>
      </c>
      <c r="D118" s="3"/>
      <c r="E118" s="3">
        <v>10</v>
      </c>
      <c r="F118" s="3">
        <f t="shared" si="14"/>
        <v>55</v>
      </c>
      <c r="G118" s="3">
        <v>6498</v>
      </c>
      <c r="H118" s="5" t="s">
        <v>1673</v>
      </c>
    </row>
    <row r="119" spans="1:8" ht="21" x14ac:dyDescent="0.7">
      <c r="A119" s="2">
        <v>117</v>
      </c>
      <c r="B119" s="8" t="s">
        <v>32</v>
      </c>
      <c r="C119" s="10" t="s">
        <v>2191</v>
      </c>
      <c r="D119" s="3"/>
      <c r="E119" s="3">
        <v>5</v>
      </c>
      <c r="F119" s="3">
        <f t="shared" si="14"/>
        <v>50</v>
      </c>
      <c r="G119" s="3">
        <v>6518</v>
      </c>
      <c r="H119" s="5" t="s">
        <v>1309</v>
      </c>
    </row>
    <row r="120" spans="1:8" ht="21" x14ac:dyDescent="0.7">
      <c r="A120" s="2">
        <v>118</v>
      </c>
      <c r="B120" s="8" t="s">
        <v>32</v>
      </c>
      <c r="C120" s="10" t="s">
        <v>2204</v>
      </c>
      <c r="D120" s="3"/>
      <c r="E120" s="3">
        <v>2</v>
      </c>
      <c r="F120" s="3">
        <f t="shared" si="14"/>
        <v>48</v>
      </c>
      <c r="G120" s="3">
        <v>6513</v>
      </c>
      <c r="H120" s="5" t="s">
        <v>1571</v>
      </c>
    </row>
    <row r="121" spans="1:8" ht="21" x14ac:dyDescent="0.7">
      <c r="A121" s="2">
        <v>119</v>
      </c>
      <c r="B121" s="8" t="s">
        <v>32</v>
      </c>
      <c r="C121" s="10" t="s">
        <v>2207</v>
      </c>
      <c r="D121" s="3"/>
      <c r="E121" s="3">
        <v>2</v>
      </c>
      <c r="F121" s="3">
        <f t="shared" si="14"/>
        <v>46</v>
      </c>
      <c r="G121" s="3">
        <v>6553</v>
      </c>
      <c r="H121" s="5" t="s">
        <v>1571</v>
      </c>
    </row>
    <row r="122" spans="1:8" ht="21" x14ac:dyDescent="0.7">
      <c r="A122" s="2">
        <v>120</v>
      </c>
      <c r="B122" s="8" t="s">
        <v>32</v>
      </c>
      <c r="C122" s="10" t="s">
        <v>2213</v>
      </c>
      <c r="D122" s="3"/>
      <c r="E122" s="3">
        <v>1</v>
      </c>
      <c r="F122" s="3">
        <f t="shared" ref="F122:F127" si="15">F121-E122</f>
        <v>45</v>
      </c>
      <c r="G122" s="3">
        <v>6571</v>
      </c>
      <c r="H122" s="5" t="s">
        <v>1675</v>
      </c>
    </row>
    <row r="123" spans="1:8" ht="21" x14ac:dyDescent="0.7">
      <c r="A123" s="2">
        <v>121</v>
      </c>
      <c r="B123" s="8" t="s">
        <v>32</v>
      </c>
      <c r="C123" s="10" t="s">
        <v>2226</v>
      </c>
      <c r="D123" s="3"/>
      <c r="E123" s="3">
        <v>2</v>
      </c>
      <c r="F123" s="3">
        <f t="shared" si="15"/>
        <v>43</v>
      </c>
      <c r="G123" s="3" t="s">
        <v>2227</v>
      </c>
      <c r="H123" s="5" t="s">
        <v>52</v>
      </c>
    </row>
    <row r="124" spans="1:8" ht="21" x14ac:dyDescent="0.7">
      <c r="A124" s="2">
        <v>122</v>
      </c>
      <c r="B124" s="8" t="s">
        <v>32</v>
      </c>
      <c r="C124" s="10" t="s">
        <v>2247</v>
      </c>
      <c r="D124" s="3"/>
      <c r="E124" s="3">
        <v>3</v>
      </c>
      <c r="F124" s="3">
        <f t="shared" si="15"/>
        <v>40</v>
      </c>
      <c r="G124" s="3" t="s">
        <v>2248</v>
      </c>
      <c r="H124" s="5" t="s">
        <v>52</v>
      </c>
    </row>
    <row r="125" spans="1:8" ht="21" x14ac:dyDescent="0.7">
      <c r="A125" s="2">
        <v>123</v>
      </c>
      <c r="B125" s="8" t="s">
        <v>32</v>
      </c>
      <c r="C125" s="10" t="s">
        <v>2277</v>
      </c>
      <c r="D125" s="3"/>
      <c r="E125" s="3">
        <v>10</v>
      </c>
      <c r="F125" s="3">
        <f t="shared" si="15"/>
        <v>30</v>
      </c>
      <c r="G125" s="3">
        <v>6684</v>
      </c>
      <c r="H125" s="5" t="s">
        <v>79</v>
      </c>
    </row>
    <row r="126" spans="1:8" ht="21" x14ac:dyDescent="0.7">
      <c r="A126" s="2">
        <v>124</v>
      </c>
      <c r="B126" s="8" t="s">
        <v>32</v>
      </c>
      <c r="C126" s="10" t="s">
        <v>2278</v>
      </c>
      <c r="D126" s="3"/>
      <c r="E126" s="3">
        <v>5</v>
      </c>
      <c r="F126" s="3">
        <f t="shared" si="15"/>
        <v>25</v>
      </c>
      <c r="G126" s="3" t="s">
        <v>2279</v>
      </c>
      <c r="H126" s="5" t="s">
        <v>52</v>
      </c>
    </row>
    <row r="127" spans="1:8" ht="21" x14ac:dyDescent="0.7">
      <c r="A127" s="2">
        <v>125</v>
      </c>
      <c r="B127" s="8" t="s">
        <v>32</v>
      </c>
      <c r="C127" s="10" t="s">
        <v>2291</v>
      </c>
      <c r="D127" s="3"/>
      <c r="E127" s="3">
        <v>3</v>
      </c>
      <c r="F127" s="3">
        <f t="shared" si="15"/>
        <v>22</v>
      </c>
      <c r="G127" s="3">
        <v>6706</v>
      </c>
      <c r="H127" s="5" t="s">
        <v>1571</v>
      </c>
    </row>
    <row r="128" spans="1:8" ht="21" x14ac:dyDescent="0.7">
      <c r="A128" s="2">
        <v>126</v>
      </c>
      <c r="B128" s="8" t="s">
        <v>32</v>
      </c>
      <c r="C128" s="10" t="s">
        <v>2297</v>
      </c>
      <c r="D128" s="3"/>
      <c r="E128" s="3">
        <v>5</v>
      </c>
      <c r="F128" s="3">
        <f>F127-E128</f>
        <v>17</v>
      </c>
      <c r="G128" s="3" t="s">
        <v>2298</v>
      </c>
      <c r="H128" s="5" t="s">
        <v>52</v>
      </c>
    </row>
    <row r="129" spans="1:8" ht="21" x14ac:dyDescent="0.7">
      <c r="A129" s="2">
        <v>127</v>
      </c>
      <c r="B129" s="8" t="s">
        <v>32</v>
      </c>
      <c r="C129" s="10" t="s">
        <v>2320</v>
      </c>
      <c r="D129" s="3"/>
      <c r="E129" s="3">
        <v>5</v>
      </c>
      <c r="F129" s="3">
        <f>F128-E129</f>
        <v>12</v>
      </c>
      <c r="G129" s="3">
        <v>6749</v>
      </c>
      <c r="H129" s="5" t="s">
        <v>639</v>
      </c>
    </row>
    <row r="130" spans="1:8" ht="21" x14ac:dyDescent="0.7">
      <c r="A130" s="2">
        <v>128</v>
      </c>
      <c r="B130" s="8" t="s">
        <v>32</v>
      </c>
      <c r="C130" s="10" t="s">
        <v>2320</v>
      </c>
      <c r="D130" s="3"/>
      <c r="E130" s="3">
        <v>2</v>
      </c>
      <c r="F130" s="3">
        <f>F129-E130</f>
        <v>10</v>
      </c>
      <c r="G130" s="3">
        <v>6750</v>
      </c>
      <c r="H130" s="5" t="s">
        <v>1571</v>
      </c>
    </row>
    <row r="131" spans="1:8" ht="21" x14ac:dyDescent="0.7">
      <c r="A131" s="2">
        <v>129</v>
      </c>
      <c r="B131" s="8" t="s">
        <v>32</v>
      </c>
      <c r="C131" s="10" t="s">
        <v>2325</v>
      </c>
      <c r="D131" s="3"/>
      <c r="E131" s="3">
        <v>1</v>
      </c>
      <c r="F131" s="3">
        <f>F130-E131</f>
        <v>9</v>
      </c>
      <c r="G131" s="3">
        <v>6762</v>
      </c>
      <c r="H131" s="5" t="s">
        <v>1662</v>
      </c>
    </row>
    <row r="132" spans="1:8" ht="21" x14ac:dyDescent="0.7">
      <c r="A132" s="2">
        <v>130</v>
      </c>
      <c r="B132" s="8" t="s">
        <v>32</v>
      </c>
      <c r="C132" s="10" t="s">
        <v>2343</v>
      </c>
      <c r="D132" s="3"/>
      <c r="E132" s="3">
        <v>9</v>
      </c>
      <c r="F132" s="3">
        <f>F131-E132</f>
        <v>0</v>
      </c>
      <c r="G132" s="3">
        <v>6783</v>
      </c>
      <c r="H132" s="5" t="s">
        <v>79</v>
      </c>
    </row>
    <row r="133" spans="1:8" ht="21" customHeight="1" x14ac:dyDescent="0.3">
      <c r="A133" s="2">
        <v>131</v>
      </c>
      <c r="B133" s="8" t="s">
        <v>32</v>
      </c>
      <c r="C133" s="10" t="s">
        <v>2376</v>
      </c>
      <c r="D133" s="3">
        <v>72</v>
      </c>
      <c r="E133" s="3"/>
      <c r="F133" s="3">
        <v>72</v>
      </c>
      <c r="G133" s="44" t="s">
        <v>2380</v>
      </c>
      <c r="H133" s="45"/>
    </row>
    <row r="134" spans="1:8" ht="21" x14ac:dyDescent="0.7">
      <c r="A134" s="2">
        <v>132</v>
      </c>
      <c r="B134" s="8" t="s">
        <v>32</v>
      </c>
      <c r="C134" s="10" t="s">
        <v>2385</v>
      </c>
      <c r="D134" s="3"/>
      <c r="E134" s="3">
        <v>8</v>
      </c>
      <c r="F134" s="3">
        <f t="shared" ref="F134:F139" si="16">F133-E134</f>
        <v>64</v>
      </c>
      <c r="G134" s="3">
        <v>6870</v>
      </c>
      <c r="H134" s="5" t="s">
        <v>2387</v>
      </c>
    </row>
    <row r="135" spans="1:8" ht="21" x14ac:dyDescent="0.7">
      <c r="A135" s="2">
        <v>133</v>
      </c>
      <c r="B135" s="8" t="s">
        <v>32</v>
      </c>
      <c r="C135" s="10" t="s">
        <v>2388</v>
      </c>
      <c r="D135" s="3"/>
      <c r="E135" s="3">
        <v>5</v>
      </c>
      <c r="F135" s="3">
        <f t="shared" si="16"/>
        <v>59</v>
      </c>
      <c r="G135" s="3">
        <v>6875</v>
      </c>
      <c r="H135" s="5" t="s">
        <v>639</v>
      </c>
    </row>
    <row r="136" spans="1:8" ht="21" x14ac:dyDescent="0.7">
      <c r="A136" s="2">
        <v>134</v>
      </c>
      <c r="B136" s="8" t="s">
        <v>32</v>
      </c>
      <c r="C136" s="10" t="s">
        <v>2410</v>
      </c>
      <c r="D136" s="3"/>
      <c r="E136" s="3">
        <v>1</v>
      </c>
      <c r="F136" s="3">
        <f t="shared" si="16"/>
        <v>58</v>
      </c>
      <c r="G136" s="3" t="s">
        <v>2412</v>
      </c>
      <c r="H136" s="5" t="s">
        <v>2411</v>
      </c>
    </row>
    <row r="137" spans="1:8" ht="21" x14ac:dyDescent="0.7">
      <c r="A137" s="2">
        <v>135</v>
      </c>
      <c r="B137" s="8" t="s">
        <v>32</v>
      </c>
      <c r="C137" s="10" t="s">
        <v>2434</v>
      </c>
      <c r="D137" s="3"/>
      <c r="E137" s="3">
        <v>2</v>
      </c>
      <c r="F137" s="3">
        <f t="shared" si="16"/>
        <v>56</v>
      </c>
      <c r="G137" s="3">
        <v>6945</v>
      </c>
      <c r="H137" s="5" t="s">
        <v>1571</v>
      </c>
    </row>
    <row r="138" spans="1:8" ht="21" x14ac:dyDescent="0.7">
      <c r="A138" s="2">
        <v>136</v>
      </c>
      <c r="B138" s="8" t="s">
        <v>32</v>
      </c>
      <c r="C138" s="10" t="s">
        <v>2471</v>
      </c>
      <c r="D138" s="3"/>
      <c r="E138" s="3">
        <v>10</v>
      </c>
      <c r="F138" s="3">
        <f t="shared" si="16"/>
        <v>46</v>
      </c>
      <c r="G138" s="3">
        <v>6993</v>
      </c>
      <c r="H138" s="5" t="s">
        <v>1673</v>
      </c>
    </row>
    <row r="139" spans="1:8" ht="21" x14ac:dyDescent="0.7">
      <c r="A139" s="2">
        <v>137</v>
      </c>
      <c r="B139" s="8" t="s">
        <v>32</v>
      </c>
      <c r="C139" s="10" t="s">
        <v>2486</v>
      </c>
      <c r="D139" s="3"/>
      <c r="E139" s="3">
        <v>10</v>
      </c>
      <c r="F139" s="3">
        <f t="shared" si="16"/>
        <v>36</v>
      </c>
      <c r="G139" s="3">
        <v>7018</v>
      </c>
      <c r="H139" s="5" t="s">
        <v>1673</v>
      </c>
    </row>
    <row r="140" spans="1:8" ht="21" x14ac:dyDescent="0.7">
      <c r="A140" s="2">
        <v>138</v>
      </c>
      <c r="B140" s="8" t="s">
        <v>32</v>
      </c>
      <c r="C140" s="10" t="s">
        <v>2491</v>
      </c>
      <c r="D140" s="3"/>
      <c r="E140" s="3">
        <v>2</v>
      </c>
      <c r="F140" s="3">
        <f>F139-E140</f>
        <v>34</v>
      </c>
      <c r="G140" s="3" t="s">
        <v>2492</v>
      </c>
      <c r="H140" s="5" t="s">
        <v>52</v>
      </c>
    </row>
    <row r="141" spans="1:8" ht="21" x14ac:dyDescent="0.7">
      <c r="A141" s="2">
        <v>139</v>
      </c>
      <c r="B141" s="8" t="s">
        <v>32</v>
      </c>
      <c r="C141" s="10" t="s">
        <v>2494</v>
      </c>
      <c r="D141" s="3"/>
      <c r="E141" s="3">
        <v>2</v>
      </c>
      <c r="F141" s="3">
        <f>F140-E141</f>
        <v>32</v>
      </c>
      <c r="G141" s="3">
        <v>7032</v>
      </c>
      <c r="H141" s="5" t="s">
        <v>2495</v>
      </c>
    </row>
    <row r="142" spans="1:8" ht="21" x14ac:dyDescent="0.7">
      <c r="A142" s="2">
        <v>140</v>
      </c>
      <c r="B142" s="8" t="s">
        <v>32</v>
      </c>
      <c r="C142" s="10" t="s">
        <v>2499</v>
      </c>
      <c r="D142" s="3"/>
      <c r="E142" s="3">
        <v>2</v>
      </c>
      <c r="F142" s="3">
        <f>F141-E142</f>
        <v>30</v>
      </c>
      <c r="G142" s="3">
        <v>7042</v>
      </c>
      <c r="H142" s="5" t="s">
        <v>1571</v>
      </c>
    </row>
    <row r="143" spans="1:8" ht="21" x14ac:dyDescent="0.7">
      <c r="A143" s="2">
        <v>141</v>
      </c>
      <c r="B143" s="8" t="s">
        <v>32</v>
      </c>
      <c r="C143" s="36" t="s">
        <v>2508</v>
      </c>
      <c r="D143" s="37"/>
      <c r="E143" s="37">
        <v>1</v>
      </c>
      <c r="F143" s="35">
        <f>F142-E143</f>
        <v>29</v>
      </c>
      <c r="G143" s="37">
        <v>7053</v>
      </c>
      <c r="H143" s="39" t="s">
        <v>150</v>
      </c>
    </row>
    <row r="144" spans="1:8" ht="21" x14ac:dyDescent="0.7">
      <c r="A144" s="2">
        <v>142</v>
      </c>
      <c r="B144" s="8" t="s">
        <v>32</v>
      </c>
      <c r="C144" s="10"/>
      <c r="D144" s="3">
        <v>8</v>
      </c>
      <c r="E144" s="3"/>
      <c r="F144" s="3">
        <f>F143+D144</f>
        <v>37</v>
      </c>
      <c r="G144" s="40" t="s">
        <v>2520</v>
      </c>
      <c r="H144" s="41"/>
    </row>
    <row r="145" spans="1:9" ht="21" x14ac:dyDescent="0.7">
      <c r="A145" s="2">
        <v>143</v>
      </c>
      <c r="B145" s="8" t="s">
        <v>32</v>
      </c>
      <c r="C145" s="10" t="s">
        <v>2519</v>
      </c>
      <c r="D145" s="3"/>
      <c r="E145" s="3">
        <v>30</v>
      </c>
      <c r="F145" s="3">
        <f>F144-E145</f>
        <v>7</v>
      </c>
      <c r="G145" s="3">
        <v>7090</v>
      </c>
      <c r="H145" s="5" t="s">
        <v>80</v>
      </c>
    </row>
    <row r="146" spans="1:9" ht="21" x14ac:dyDescent="0.7">
      <c r="A146" s="2">
        <v>144</v>
      </c>
      <c r="B146" s="8" t="s">
        <v>32</v>
      </c>
      <c r="C146" s="10" t="s">
        <v>2540</v>
      </c>
      <c r="D146" s="3"/>
      <c r="E146" s="3">
        <v>4</v>
      </c>
      <c r="F146" s="3">
        <f>F145-E146</f>
        <v>3</v>
      </c>
      <c r="G146" s="3">
        <v>7141</v>
      </c>
      <c r="H146" s="5" t="s">
        <v>465</v>
      </c>
      <c r="I146" t="s">
        <v>2541</v>
      </c>
    </row>
    <row r="147" spans="1:9" ht="21" customHeight="1" x14ac:dyDescent="0.3">
      <c r="A147" s="2">
        <v>145</v>
      </c>
      <c r="B147" s="8" t="s">
        <v>32</v>
      </c>
      <c r="C147" s="10" t="s">
        <v>2529</v>
      </c>
      <c r="D147" s="3">
        <v>24</v>
      </c>
      <c r="E147" s="3"/>
      <c r="F147" s="3">
        <f>F146+D147</f>
        <v>27</v>
      </c>
      <c r="G147" s="44" t="s">
        <v>2531</v>
      </c>
      <c r="H147" s="45"/>
    </row>
    <row r="148" spans="1:9" ht="21" x14ac:dyDescent="0.7">
      <c r="A148" s="2">
        <v>146</v>
      </c>
      <c r="B148" s="8" t="s">
        <v>32</v>
      </c>
      <c r="C148" s="10" t="s">
        <v>2537</v>
      </c>
      <c r="D148" s="3"/>
      <c r="E148" s="3">
        <v>2</v>
      </c>
      <c r="F148" s="3">
        <f>F147-E148</f>
        <v>25</v>
      </c>
      <c r="G148" s="3">
        <v>7127</v>
      </c>
      <c r="H148" s="5" t="s">
        <v>1571</v>
      </c>
    </row>
    <row r="149" spans="1:9" ht="21" customHeight="1" x14ac:dyDescent="0.3">
      <c r="A149" s="2">
        <v>147</v>
      </c>
      <c r="B149" s="8" t="s">
        <v>32</v>
      </c>
      <c r="C149" s="10" t="s">
        <v>2556</v>
      </c>
      <c r="D149" s="3">
        <v>32</v>
      </c>
      <c r="E149" s="3"/>
      <c r="F149" s="3">
        <f>F148+D149</f>
        <v>57</v>
      </c>
      <c r="G149" s="44" t="s">
        <v>2559</v>
      </c>
      <c r="H149" s="45"/>
    </row>
    <row r="150" spans="1:9" ht="21" x14ac:dyDescent="0.7">
      <c r="A150" s="2">
        <v>148</v>
      </c>
      <c r="B150" s="8" t="s">
        <v>32</v>
      </c>
      <c r="C150" s="10" t="s">
        <v>2565</v>
      </c>
      <c r="D150" s="3"/>
      <c r="E150" s="3">
        <v>1</v>
      </c>
      <c r="F150" s="3">
        <f>F149-E150</f>
        <v>56</v>
      </c>
      <c r="G150" s="3" t="s">
        <v>2566</v>
      </c>
      <c r="H150" s="5" t="s">
        <v>52</v>
      </c>
    </row>
    <row r="151" spans="1:9" ht="24" customHeight="1" x14ac:dyDescent="0.3">
      <c r="A151" s="2">
        <v>149</v>
      </c>
      <c r="B151" s="8" t="s">
        <v>32</v>
      </c>
      <c r="C151" s="10" t="s">
        <v>2584</v>
      </c>
      <c r="D151" s="3">
        <v>16</v>
      </c>
      <c r="E151" s="3"/>
      <c r="F151" s="3">
        <f>F150+D151</f>
        <v>72</v>
      </c>
      <c r="G151" s="44" t="s">
        <v>2588</v>
      </c>
      <c r="H151" s="45"/>
    </row>
    <row r="152" spans="1:9" ht="21" x14ac:dyDescent="0.7">
      <c r="A152" s="2">
        <v>150</v>
      </c>
      <c r="B152" s="8" t="s">
        <v>32</v>
      </c>
      <c r="C152" s="10" t="s">
        <v>2589</v>
      </c>
      <c r="D152" s="3"/>
      <c r="E152" s="3">
        <v>1</v>
      </c>
      <c r="F152" s="3">
        <f t="shared" ref="F152:F157" si="17">F151-E152</f>
        <v>71</v>
      </c>
      <c r="G152" s="3">
        <v>7213</v>
      </c>
      <c r="H152" s="5" t="s">
        <v>2590</v>
      </c>
    </row>
    <row r="153" spans="1:9" ht="21" x14ac:dyDescent="0.7">
      <c r="A153" s="2">
        <v>151</v>
      </c>
      <c r="B153" s="8" t="s">
        <v>32</v>
      </c>
      <c r="C153" s="10" t="s">
        <v>2619</v>
      </c>
      <c r="D153" s="3"/>
      <c r="E153" s="3">
        <v>5</v>
      </c>
      <c r="F153" s="3">
        <f t="shared" si="17"/>
        <v>66</v>
      </c>
      <c r="G153" s="3">
        <v>7265</v>
      </c>
      <c r="H153" s="5" t="s">
        <v>2620</v>
      </c>
    </row>
    <row r="154" spans="1:9" ht="21" x14ac:dyDescent="0.7">
      <c r="A154" s="2">
        <v>152</v>
      </c>
      <c r="B154" s="8" t="s">
        <v>32</v>
      </c>
      <c r="C154" s="10" t="s">
        <v>2628</v>
      </c>
      <c r="D154" s="3"/>
      <c r="E154" s="3">
        <v>1</v>
      </c>
      <c r="F154" s="3">
        <f t="shared" si="17"/>
        <v>65</v>
      </c>
      <c r="G154" s="3" t="s">
        <v>2629</v>
      </c>
      <c r="H154" s="5" t="s">
        <v>52</v>
      </c>
    </row>
    <row r="155" spans="1:9" ht="21" x14ac:dyDescent="0.7">
      <c r="A155" s="2">
        <v>153</v>
      </c>
      <c r="B155" s="8" t="s">
        <v>32</v>
      </c>
      <c r="C155" s="10" t="s">
        <v>2648</v>
      </c>
      <c r="D155" s="3"/>
      <c r="E155" s="3">
        <v>1</v>
      </c>
      <c r="F155" s="3">
        <f t="shared" si="17"/>
        <v>64</v>
      </c>
      <c r="G155" s="3" t="s">
        <v>2649</v>
      </c>
      <c r="H155" s="5" t="s">
        <v>52</v>
      </c>
    </row>
    <row r="156" spans="1:9" ht="21" x14ac:dyDescent="0.7">
      <c r="A156" s="2">
        <v>154</v>
      </c>
      <c r="B156" s="8" t="s">
        <v>32</v>
      </c>
      <c r="C156" s="10" t="s">
        <v>2651</v>
      </c>
      <c r="D156" s="3"/>
      <c r="E156" s="3">
        <v>1</v>
      </c>
      <c r="F156" s="3">
        <f t="shared" si="17"/>
        <v>63</v>
      </c>
      <c r="G156" s="3">
        <v>7516</v>
      </c>
      <c r="H156" s="5" t="s">
        <v>639</v>
      </c>
    </row>
    <row r="157" spans="1:9" ht="21" x14ac:dyDescent="0.7">
      <c r="A157" s="2">
        <v>155</v>
      </c>
      <c r="B157" s="8" t="s">
        <v>32</v>
      </c>
      <c r="C157" s="10" t="s">
        <v>2664</v>
      </c>
      <c r="D157" s="3"/>
      <c r="E157" s="3">
        <v>1</v>
      </c>
      <c r="F157" s="3">
        <f t="shared" si="17"/>
        <v>62</v>
      </c>
      <c r="G157" s="3" t="s">
        <v>2665</v>
      </c>
      <c r="H157" s="5" t="s">
        <v>2666</v>
      </c>
    </row>
    <row r="158" spans="1:9" ht="24.6" customHeight="1" x14ac:dyDescent="0.3">
      <c r="A158" s="2">
        <v>156</v>
      </c>
      <c r="B158" s="8" t="s">
        <v>32</v>
      </c>
      <c r="C158" s="10" t="s">
        <v>2675</v>
      </c>
      <c r="D158" s="3">
        <v>32</v>
      </c>
      <c r="E158" s="3"/>
      <c r="F158" s="3">
        <f>F157+D158</f>
        <v>94</v>
      </c>
      <c r="G158" s="44" t="s">
        <v>2678</v>
      </c>
      <c r="H158" s="45"/>
    </row>
    <row r="159" spans="1:9" ht="21" x14ac:dyDescent="0.7">
      <c r="A159" s="2">
        <v>157</v>
      </c>
      <c r="B159" s="8" t="s">
        <v>32</v>
      </c>
      <c r="C159" s="10"/>
      <c r="D159" s="3"/>
      <c r="E159" s="3"/>
      <c r="F159" s="3"/>
      <c r="G159" s="3"/>
      <c r="H159" s="5"/>
    </row>
    <row r="160" spans="1:9" ht="21" x14ac:dyDescent="0.7">
      <c r="A160" s="2">
        <v>158</v>
      </c>
      <c r="B160" s="8" t="s">
        <v>32</v>
      </c>
      <c r="C160" s="10"/>
      <c r="D160" s="3"/>
      <c r="E160" s="3"/>
      <c r="F160" s="3"/>
      <c r="G160" s="3"/>
      <c r="H160" s="5"/>
    </row>
    <row r="161" spans="1:8" ht="21" x14ac:dyDescent="0.7">
      <c r="A161" s="2">
        <v>159</v>
      </c>
      <c r="B161" s="8" t="s">
        <v>32</v>
      </c>
      <c r="C161" s="10"/>
      <c r="D161" s="3"/>
      <c r="E161" s="3"/>
      <c r="F161" s="3"/>
      <c r="G161" s="3"/>
      <c r="H161" s="5"/>
    </row>
  </sheetData>
  <mergeCells count="9">
    <mergeCell ref="G158:H158"/>
    <mergeCell ref="G151:H151"/>
    <mergeCell ref="G149:H149"/>
    <mergeCell ref="G147:H147"/>
    <mergeCell ref="G5:H5"/>
    <mergeCell ref="G14:H14"/>
    <mergeCell ref="G45:H45"/>
    <mergeCell ref="G103:H103"/>
    <mergeCell ref="G133:H133"/>
  </mergeCells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"/>
  <sheetViews>
    <sheetView rightToLeft="1" workbookViewId="0">
      <selection activeCell="H3" sqref="H3"/>
    </sheetView>
  </sheetViews>
  <sheetFormatPr defaultRowHeight="14.4" x14ac:dyDescent="0.3"/>
  <cols>
    <col min="2" max="2" width="11.109375" bestFit="1" customWidth="1"/>
    <col min="7" max="7" width="11.886718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33</v>
      </c>
      <c r="C2" s="10"/>
      <c r="D2" s="3"/>
      <c r="E2" s="3">
        <v>66</v>
      </c>
      <c r="F2" s="3">
        <v>0</v>
      </c>
      <c r="G2" s="3">
        <v>3410</v>
      </c>
      <c r="H2" s="5" t="s">
        <v>80</v>
      </c>
    </row>
    <row r="3" spans="1:8" ht="21" x14ac:dyDescent="0.7">
      <c r="A3" s="2">
        <v>2</v>
      </c>
      <c r="B3" s="8"/>
      <c r="C3" s="10"/>
      <c r="D3" s="3"/>
      <c r="E3" s="3"/>
      <c r="F3" s="3"/>
      <c r="G3" s="3"/>
      <c r="H3" s="5"/>
    </row>
    <row r="4" spans="1:8" ht="21" x14ac:dyDescent="0.7">
      <c r="A4" s="2"/>
      <c r="B4" s="8"/>
      <c r="C4" s="10"/>
      <c r="D4" s="3"/>
      <c r="E4" s="3"/>
      <c r="F4" s="3"/>
      <c r="G4" s="3"/>
      <c r="H4" s="5"/>
    </row>
    <row r="5" spans="1:8" ht="21" x14ac:dyDescent="0.7">
      <c r="A5" s="2"/>
      <c r="B5" s="8"/>
      <c r="C5" s="10"/>
      <c r="D5" s="3"/>
      <c r="E5" s="3"/>
      <c r="F5" s="3"/>
      <c r="G5" s="3"/>
      <c r="H5" s="5"/>
    </row>
    <row r="6" spans="1:8" ht="21" x14ac:dyDescent="0.7">
      <c r="A6" s="2"/>
      <c r="B6" s="8"/>
      <c r="C6" s="10"/>
      <c r="D6" s="3"/>
      <c r="E6" s="3"/>
      <c r="F6" s="3"/>
      <c r="G6" s="3"/>
      <c r="H6" s="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H16"/>
  <sheetViews>
    <sheetView rightToLeft="1" zoomScale="110" zoomScaleNormal="110" workbookViewId="0">
      <selection activeCell="F9" sqref="F9"/>
    </sheetView>
  </sheetViews>
  <sheetFormatPr defaultRowHeight="14.4" x14ac:dyDescent="0.3"/>
  <cols>
    <col min="2" max="2" width="10.44140625" bestFit="1" customWidth="1"/>
    <col min="7" max="7" width="11.88671875" bestFit="1" customWidth="1"/>
    <col min="8" max="8" width="22.55468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34</v>
      </c>
      <c r="C2" s="10" t="s">
        <v>78</v>
      </c>
      <c r="D2" s="3"/>
      <c r="E2" s="3">
        <v>100</v>
      </c>
      <c r="F2" s="3">
        <v>197</v>
      </c>
      <c r="G2" s="3">
        <v>3636</v>
      </c>
      <c r="H2" s="5" t="s">
        <v>79</v>
      </c>
    </row>
    <row r="3" spans="1:8" ht="21" x14ac:dyDescent="0.7">
      <c r="A3" s="2">
        <v>2</v>
      </c>
      <c r="B3" s="8" t="s">
        <v>34</v>
      </c>
      <c r="C3" s="10" t="s">
        <v>108</v>
      </c>
      <c r="D3" s="3"/>
      <c r="E3" s="3">
        <v>2</v>
      </c>
      <c r="F3" s="3">
        <f t="shared" ref="F3:F7" si="0">F2-E3</f>
        <v>195</v>
      </c>
      <c r="G3" s="3">
        <v>3662</v>
      </c>
      <c r="H3" s="5" t="s">
        <v>79</v>
      </c>
    </row>
    <row r="4" spans="1:8" ht="21" x14ac:dyDescent="0.7">
      <c r="A4" s="2"/>
      <c r="B4" s="8" t="s">
        <v>34</v>
      </c>
      <c r="C4" s="10" t="s">
        <v>114</v>
      </c>
      <c r="D4" s="3"/>
      <c r="E4" s="3">
        <v>1</v>
      </c>
      <c r="F4" s="3">
        <f t="shared" si="0"/>
        <v>194</v>
      </c>
      <c r="G4" s="3">
        <v>3670</v>
      </c>
      <c r="H4" s="5" t="s">
        <v>116</v>
      </c>
    </row>
    <row r="5" spans="1:8" ht="21" x14ac:dyDescent="0.7">
      <c r="A5" s="2"/>
      <c r="B5" s="8" t="s">
        <v>34</v>
      </c>
      <c r="C5" s="10" t="s">
        <v>158</v>
      </c>
      <c r="D5" s="3"/>
      <c r="E5" s="3">
        <v>84</v>
      </c>
      <c r="F5" s="3">
        <f t="shared" si="0"/>
        <v>110</v>
      </c>
      <c r="G5" s="3">
        <v>3754</v>
      </c>
      <c r="H5" s="5" t="s">
        <v>80</v>
      </c>
    </row>
    <row r="6" spans="1:8" ht="21" x14ac:dyDescent="0.7">
      <c r="A6" s="2"/>
      <c r="B6" s="8" t="s">
        <v>34</v>
      </c>
      <c r="C6" s="10" t="s">
        <v>160</v>
      </c>
      <c r="D6" s="3"/>
      <c r="E6" s="3">
        <v>2</v>
      </c>
      <c r="F6" s="3">
        <f t="shared" si="0"/>
        <v>108</v>
      </c>
      <c r="G6" s="3">
        <v>3755</v>
      </c>
      <c r="H6" s="5" t="s">
        <v>163</v>
      </c>
    </row>
    <row r="7" spans="1:8" ht="21" x14ac:dyDescent="0.7">
      <c r="A7" s="2"/>
      <c r="B7" s="8" t="s">
        <v>34</v>
      </c>
      <c r="C7" s="10" t="s">
        <v>242</v>
      </c>
      <c r="D7" s="3"/>
      <c r="E7" s="3">
        <v>56</v>
      </c>
      <c r="F7" s="3">
        <f t="shared" si="0"/>
        <v>52</v>
      </c>
      <c r="G7" s="3">
        <v>3866</v>
      </c>
      <c r="H7" s="5" t="s">
        <v>80</v>
      </c>
    </row>
    <row r="8" spans="1:8" ht="20.25" customHeight="1" x14ac:dyDescent="0.3">
      <c r="A8" s="2"/>
      <c r="B8" s="8" t="s">
        <v>34</v>
      </c>
      <c r="C8" s="10"/>
      <c r="D8" s="3"/>
      <c r="E8" s="3">
        <v>50</v>
      </c>
      <c r="F8" s="3">
        <v>0</v>
      </c>
      <c r="G8" s="46" t="s">
        <v>268</v>
      </c>
      <c r="H8" s="47"/>
    </row>
    <row r="9" spans="1:8" ht="21" x14ac:dyDescent="0.7">
      <c r="A9" s="2"/>
      <c r="B9" s="8" t="s">
        <v>34</v>
      </c>
      <c r="C9" s="10"/>
      <c r="D9" s="3"/>
      <c r="E9" s="3"/>
      <c r="F9" s="3"/>
      <c r="G9" s="3"/>
      <c r="H9" s="5"/>
    </row>
    <row r="10" spans="1:8" ht="21" x14ac:dyDescent="0.7">
      <c r="A10" s="2"/>
      <c r="B10" s="8" t="s">
        <v>34</v>
      </c>
      <c r="C10" s="10"/>
      <c r="D10" s="3"/>
      <c r="E10" s="3"/>
      <c r="F10" s="3"/>
      <c r="G10" s="3"/>
      <c r="H10" s="5"/>
    </row>
    <row r="11" spans="1:8" ht="21" x14ac:dyDescent="0.7">
      <c r="A11" s="2"/>
      <c r="B11" s="8" t="s">
        <v>34</v>
      </c>
      <c r="C11" s="10"/>
      <c r="D11" s="3"/>
      <c r="E11" s="3"/>
      <c r="F11" s="3"/>
      <c r="G11" s="3"/>
      <c r="H11" s="5"/>
    </row>
    <row r="12" spans="1:8" ht="21" x14ac:dyDescent="0.7">
      <c r="A12" s="2"/>
      <c r="B12" s="8" t="s">
        <v>34</v>
      </c>
      <c r="C12" s="10"/>
      <c r="D12" s="3"/>
      <c r="E12" s="3"/>
      <c r="F12" s="3"/>
      <c r="G12" s="3"/>
      <c r="H12" s="5"/>
    </row>
    <row r="13" spans="1:8" ht="21" x14ac:dyDescent="0.7">
      <c r="A13" s="2"/>
      <c r="B13" s="8" t="s">
        <v>34</v>
      </c>
      <c r="C13" s="10"/>
      <c r="D13" s="3"/>
      <c r="E13" s="3"/>
      <c r="F13" s="3"/>
      <c r="G13" s="3"/>
      <c r="H13" s="5"/>
    </row>
    <row r="14" spans="1:8" ht="21" x14ac:dyDescent="0.7">
      <c r="A14" s="2"/>
      <c r="B14" s="8" t="s">
        <v>34</v>
      </c>
      <c r="C14" s="10"/>
      <c r="D14" s="3"/>
      <c r="E14" s="3"/>
      <c r="F14" s="3"/>
      <c r="G14" s="3"/>
      <c r="H14" s="5"/>
    </row>
    <row r="15" spans="1:8" ht="21" x14ac:dyDescent="0.7">
      <c r="A15" s="2"/>
      <c r="B15" s="8" t="s">
        <v>34</v>
      </c>
      <c r="C15" s="10"/>
      <c r="D15" s="3"/>
      <c r="E15" s="3"/>
      <c r="F15" s="3"/>
      <c r="G15" s="3"/>
      <c r="H15" s="5"/>
    </row>
    <row r="16" spans="1:8" ht="21" x14ac:dyDescent="0.7">
      <c r="A16" s="2"/>
      <c r="B16" s="8" t="s">
        <v>34</v>
      </c>
      <c r="C16" s="10"/>
      <c r="D16" s="3"/>
      <c r="E16" s="3"/>
      <c r="F16" s="3"/>
      <c r="G16" s="3"/>
      <c r="H16" s="5"/>
    </row>
  </sheetData>
  <mergeCells count="1">
    <mergeCell ref="G8:H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6" tint="-0.249977111117893"/>
  </sheetPr>
  <dimension ref="A1:I25"/>
  <sheetViews>
    <sheetView rightToLeft="1" zoomScale="110" zoomScaleNormal="110" workbookViewId="0">
      <pane ySplit="1" topLeftCell="A17" activePane="bottomLeft" state="frozen"/>
      <selection pane="bottomLeft" activeCell="J28" sqref="J28"/>
    </sheetView>
  </sheetViews>
  <sheetFormatPr defaultRowHeight="14.4" x14ac:dyDescent="0.3"/>
  <cols>
    <col min="2" max="2" width="10.44140625" bestFit="1" customWidth="1"/>
    <col min="7" max="7" width="11.88671875" bestFit="1" customWidth="1"/>
    <col min="8" max="8" width="15.109375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1" x14ac:dyDescent="0.7">
      <c r="A2" s="2">
        <v>1</v>
      </c>
      <c r="B2" s="8" t="s">
        <v>35</v>
      </c>
      <c r="C2" s="10" t="s">
        <v>62</v>
      </c>
      <c r="D2" s="3"/>
      <c r="E2" s="3">
        <v>2</v>
      </c>
      <c r="F2" s="3">
        <v>27</v>
      </c>
      <c r="G2" s="3">
        <v>3632</v>
      </c>
      <c r="H2" s="5" t="s">
        <v>80</v>
      </c>
    </row>
    <row r="3" spans="1:9" ht="21" x14ac:dyDescent="0.7">
      <c r="A3" s="2">
        <v>2</v>
      </c>
      <c r="B3" s="8" t="s">
        <v>35</v>
      </c>
      <c r="C3" s="10" t="s">
        <v>108</v>
      </c>
      <c r="D3" s="3"/>
      <c r="E3" s="3">
        <v>16</v>
      </c>
      <c r="F3" s="3">
        <f>F2-E3</f>
        <v>11</v>
      </c>
      <c r="G3" s="3">
        <v>3662</v>
      </c>
      <c r="H3" s="5" t="s">
        <v>79</v>
      </c>
    </row>
    <row r="4" spans="1:9" ht="21" x14ac:dyDescent="0.7">
      <c r="A4" s="2">
        <v>3</v>
      </c>
      <c r="B4" s="8" t="s">
        <v>35</v>
      </c>
      <c r="C4" s="10" t="s">
        <v>114</v>
      </c>
      <c r="D4" s="3"/>
      <c r="E4" s="3">
        <v>3</v>
      </c>
      <c r="F4" s="3">
        <f>F3-E4</f>
        <v>8</v>
      </c>
      <c r="G4" s="3">
        <v>3670</v>
      </c>
      <c r="H4" s="5" t="s">
        <v>115</v>
      </c>
    </row>
    <row r="5" spans="1:9" ht="21" x14ac:dyDescent="0.7">
      <c r="A5" s="2">
        <v>4</v>
      </c>
      <c r="B5" s="8" t="s">
        <v>35</v>
      </c>
      <c r="C5" s="10" t="s">
        <v>160</v>
      </c>
      <c r="D5" s="3"/>
      <c r="E5" s="3">
        <v>8</v>
      </c>
      <c r="F5" s="3">
        <f>F4-E5</f>
        <v>0</v>
      </c>
      <c r="G5" s="3">
        <v>3755</v>
      </c>
      <c r="H5" s="5" t="s">
        <v>162</v>
      </c>
    </row>
    <row r="6" spans="1:9" ht="21" x14ac:dyDescent="0.7">
      <c r="A6" s="2">
        <v>5</v>
      </c>
      <c r="B6" s="8" t="s">
        <v>35</v>
      </c>
      <c r="C6" s="13" t="s">
        <v>246</v>
      </c>
      <c r="D6" s="3">
        <v>40</v>
      </c>
      <c r="E6" s="3"/>
      <c r="F6" s="3">
        <v>40</v>
      </c>
      <c r="G6" s="3"/>
      <c r="H6" s="5"/>
    </row>
    <row r="7" spans="1:9" ht="21" x14ac:dyDescent="0.7">
      <c r="A7" s="2">
        <v>6</v>
      </c>
      <c r="B7" s="8" t="s">
        <v>35</v>
      </c>
      <c r="C7" s="10" t="s">
        <v>242</v>
      </c>
      <c r="D7" s="3"/>
      <c r="E7" s="3">
        <v>8</v>
      </c>
      <c r="F7" s="3">
        <f>F6-E7</f>
        <v>32</v>
      </c>
      <c r="G7" s="3">
        <v>3867</v>
      </c>
      <c r="H7" s="5" t="s">
        <v>162</v>
      </c>
    </row>
    <row r="8" spans="1:9" ht="21" x14ac:dyDescent="0.7">
      <c r="A8" s="2">
        <v>7</v>
      </c>
      <c r="B8" s="8" t="s">
        <v>35</v>
      </c>
      <c r="C8" s="10" t="s">
        <v>242</v>
      </c>
      <c r="D8" s="3"/>
      <c r="E8" s="3">
        <v>20</v>
      </c>
      <c r="F8" s="3">
        <f>F7-E8</f>
        <v>12</v>
      </c>
      <c r="G8" s="3">
        <v>3866</v>
      </c>
      <c r="H8" s="5" t="s">
        <v>80</v>
      </c>
    </row>
    <row r="9" spans="1:9" ht="21" x14ac:dyDescent="0.7">
      <c r="A9" s="2">
        <v>8</v>
      </c>
      <c r="B9" s="8" t="s">
        <v>35</v>
      </c>
      <c r="C9" s="10" t="s">
        <v>254</v>
      </c>
      <c r="D9" s="3"/>
      <c r="E9" s="3">
        <v>12</v>
      </c>
      <c r="F9" s="3">
        <f>F8-E9</f>
        <v>0</v>
      </c>
      <c r="G9" s="3">
        <v>3873</v>
      </c>
      <c r="H9" s="5" t="s">
        <v>80</v>
      </c>
      <c r="I9" t="s">
        <v>315</v>
      </c>
    </row>
    <row r="10" spans="1:9" ht="21" x14ac:dyDescent="0.7">
      <c r="A10" s="2">
        <v>9</v>
      </c>
      <c r="B10" s="8" t="s">
        <v>35</v>
      </c>
      <c r="C10" s="13" t="s">
        <v>266</v>
      </c>
      <c r="D10" s="3">
        <v>80</v>
      </c>
      <c r="E10" s="3"/>
      <c r="F10" s="3">
        <v>80</v>
      </c>
      <c r="G10" s="3"/>
      <c r="H10" s="5"/>
    </row>
    <row r="11" spans="1:9" ht="21" x14ac:dyDescent="0.7">
      <c r="A11" s="2">
        <v>10</v>
      </c>
      <c r="B11" s="8" t="s">
        <v>35</v>
      </c>
      <c r="C11" s="10" t="s">
        <v>314</v>
      </c>
      <c r="D11" s="3"/>
      <c r="E11" s="3">
        <v>12</v>
      </c>
      <c r="F11" s="3">
        <f>F10-E11</f>
        <v>68</v>
      </c>
      <c r="G11" s="3">
        <v>3950</v>
      </c>
      <c r="H11" s="5" t="s">
        <v>80</v>
      </c>
      <c r="I11" t="s">
        <v>315</v>
      </c>
    </row>
    <row r="12" spans="1:9" ht="20.25" customHeight="1" x14ac:dyDescent="0.3">
      <c r="A12" s="2">
        <v>11</v>
      </c>
      <c r="B12" s="8" t="s">
        <v>35</v>
      </c>
      <c r="C12" s="10" t="s">
        <v>342</v>
      </c>
      <c r="D12" s="3">
        <v>12</v>
      </c>
      <c r="E12" s="3"/>
      <c r="F12" s="3">
        <f>F11+D12</f>
        <v>80</v>
      </c>
      <c r="G12" s="46" t="s">
        <v>343</v>
      </c>
      <c r="H12" s="47"/>
    </row>
    <row r="13" spans="1:9" ht="21" x14ac:dyDescent="0.7">
      <c r="A13" s="2">
        <v>12</v>
      </c>
      <c r="B13" s="8" t="s">
        <v>35</v>
      </c>
      <c r="C13" s="10" t="s">
        <v>358</v>
      </c>
      <c r="D13" s="3"/>
      <c r="E13" s="3">
        <v>1</v>
      </c>
      <c r="F13" s="3">
        <f t="shared" ref="F13:F18" si="0">F12-E13</f>
        <v>79</v>
      </c>
      <c r="G13" s="3">
        <v>4016</v>
      </c>
      <c r="H13" s="5" t="s">
        <v>359</v>
      </c>
    </row>
    <row r="14" spans="1:9" ht="21" x14ac:dyDescent="0.7">
      <c r="A14" s="2">
        <v>13</v>
      </c>
      <c r="B14" s="8" t="s">
        <v>35</v>
      </c>
      <c r="C14" s="10" t="s">
        <v>411</v>
      </c>
      <c r="D14" s="3"/>
      <c r="E14" s="3">
        <v>6</v>
      </c>
      <c r="F14" s="3">
        <f t="shared" si="0"/>
        <v>73</v>
      </c>
      <c r="G14" s="3">
        <v>4093</v>
      </c>
      <c r="H14" s="5" t="s">
        <v>412</v>
      </c>
      <c r="I14" s="15"/>
    </row>
    <row r="15" spans="1:9" ht="21" x14ac:dyDescent="0.7">
      <c r="A15" s="2">
        <v>14</v>
      </c>
      <c r="B15" s="8" t="s">
        <v>35</v>
      </c>
      <c r="C15" s="10" t="s">
        <v>415</v>
      </c>
      <c r="D15" s="3"/>
      <c r="E15" s="3">
        <v>3</v>
      </c>
      <c r="F15" s="3">
        <f t="shared" si="0"/>
        <v>70</v>
      </c>
      <c r="G15" s="3">
        <v>4095</v>
      </c>
      <c r="H15" s="5" t="s">
        <v>79</v>
      </c>
    </row>
    <row r="16" spans="1:9" ht="21" x14ac:dyDescent="0.7">
      <c r="A16" s="2">
        <v>15</v>
      </c>
      <c r="B16" s="8" t="s">
        <v>35</v>
      </c>
      <c r="C16" s="10" t="s">
        <v>506</v>
      </c>
      <c r="D16" s="3"/>
      <c r="E16" s="3">
        <v>1</v>
      </c>
      <c r="F16" s="3">
        <f t="shared" si="0"/>
        <v>69</v>
      </c>
      <c r="G16" s="3" t="s">
        <v>507</v>
      </c>
      <c r="H16" s="5" t="s">
        <v>55</v>
      </c>
    </row>
    <row r="17" spans="1:8" ht="21" x14ac:dyDescent="0.7">
      <c r="A17" s="2">
        <v>16</v>
      </c>
      <c r="B17" s="8" t="s">
        <v>35</v>
      </c>
      <c r="C17" s="10" t="s">
        <v>610</v>
      </c>
      <c r="D17" s="3"/>
      <c r="E17" s="3">
        <v>1</v>
      </c>
      <c r="F17" s="3">
        <f t="shared" si="0"/>
        <v>68</v>
      </c>
      <c r="G17" s="3" t="s">
        <v>611</v>
      </c>
      <c r="H17" s="5" t="s">
        <v>91</v>
      </c>
    </row>
    <row r="18" spans="1:8" ht="21" x14ac:dyDescent="0.7">
      <c r="A18" s="2">
        <v>17</v>
      </c>
      <c r="B18" s="8" t="s">
        <v>35</v>
      </c>
      <c r="C18" s="10" t="s">
        <v>619</v>
      </c>
      <c r="D18" s="3"/>
      <c r="E18" s="3">
        <v>10</v>
      </c>
      <c r="F18" s="3">
        <f t="shared" si="0"/>
        <v>58</v>
      </c>
      <c r="G18" s="3">
        <v>4338</v>
      </c>
      <c r="H18" s="5" t="s">
        <v>412</v>
      </c>
    </row>
    <row r="19" spans="1:8" ht="21" x14ac:dyDescent="0.7">
      <c r="A19" s="2">
        <v>18</v>
      </c>
      <c r="B19" s="8" t="s">
        <v>35</v>
      </c>
      <c r="C19" s="10" t="s">
        <v>626</v>
      </c>
      <c r="D19" s="3"/>
      <c r="E19" s="3">
        <v>2</v>
      </c>
      <c r="F19" s="3">
        <f>F18-E19</f>
        <v>56</v>
      </c>
      <c r="G19" s="3">
        <v>4340</v>
      </c>
      <c r="H19" s="5" t="s">
        <v>627</v>
      </c>
    </row>
    <row r="20" spans="1:8" ht="21" x14ac:dyDescent="0.7">
      <c r="A20" s="2">
        <v>19</v>
      </c>
      <c r="B20" s="8" t="s">
        <v>35</v>
      </c>
      <c r="C20" s="10" t="s">
        <v>758</v>
      </c>
      <c r="D20" s="3"/>
      <c r="E20" s="3">
        <v>5</v>
      </c>
      <c r="F20" s="3">
        <f>F19-E20</f>
        <v>51</v>
      </c>
      <c r="G20" s="3">
        <v>4539</v>
      </c>
      <c r="H20" s="5" t="s">
        <v>79</v>
      </c>
    </row>
    <row r="21" spans="1:8" ht="21" x14ac:dyDescent="0.7">
      <c r="A21" s="2">
        <v>20</v>
      </c>
      <c r="B21" s="8" t="s">
        <v>35</v>
      </c>
      <c r="C21" s="10" t="s">
        <v>839</v>
      </c>
      <c r="D21" s="3"/>
      <c r="E21" s="3">
        <v>23</v>
      </c>
      <c r="F21" s="3">
        <f>F20-E21</f>
        <v>28</v>
      </c>
      <c r="G21" s="3">
        <v>4640</v>
      </c>
      <c r="H21" s="5" t="s">
        <v>412</v>
      </c>
    </row>
    <row r="22" spans="1:8" ht="21" x14ac:dyDescent="0.7">
      <c r="A22" s="2">
        <v>21</v>
      </c>
      <c r="B22" s="8" t="s">
        <v>35</v>
      </c>
      <c r="C22" s="10" t="s">
        <v>857</v>
      </c>
      <c r="D22" s="3"/>
      <c r="E22" s="3">
        <v>28</v>
      </c>
      <c r="F22" s="3">
        <f>F21-E22</f>
        <v>0</v>
      </c>
      <c r="G22" s="3">
        <v>4674</v>
      </c>
      <c r="H22" s="5" t="s">
        <v>412</v>
      </c>
    </row>
    <row r="23" spans="1:8" ht="21" x14ac:dyDescent="0.7">
      <c r="A23" s="2">
        <v>22</v>
      </c>
      <c r="B23" s="8" t="s">
        <v>35</v>
      </c>
      <c r="C23" s="10"/>
      <c r="D23" s="3"/>
      <c r="E23" s="3"/>
      <c r="F23" s="3"/>
      <c r="G23" s="3"/>
      <c r="H23" s="5"/>
    </row>
    <row r="24" spans="1:8" ht="21" x14ac:dyDescent="0.7">
      <c r="A24" s="2">
        <v>23</v>
      </c>
      <c r="B24" s="8" t="s">
        <v>35</v>
      </c>
      <c r="C24" s="10"/>
      <c r="D24" s="3"/>
      <c r="E24" s="3"/>
      <c r="F24" s="3"/>
      <c r="G24" s="3"/>
      <c r="H24" s="5"/>
    </row>
    <row r="25" spans="1:8" ht="21" x14ac:dyDescent="0.7">
      <c r="A25" s="2">
        <v>24</v>
      </c>
      <c r="B25" s="8" t="s">
        <v>35</v>
      </c>
      <c r="C25" s="10"/>
      <c r="D25" s="3"/>
      <c r="E25" s="3"/>
      <c r="F25" s="3"/>
      <c r="G25" s="3"/>
      <c r="H25" s="5"/>
    </row>
  </sheetData>
  <mergeCells count="1">
    <mergeCell ref="G12:H12"/>
  </mergeCells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I60"/>
  <sheetViews>
    <sheetView rightToLeft="1" zoomScale="130" zoomScaleNormal="130" workbookViewId="0">
      <pane ySplit="1" topLeftCell="A50" activePane="bottomLeft" state="frozen"/>
      <selection pane="bottomLeft" activeCell="E57" sqref="E57"/>
    </sheetView>
  </sheetViews>
  <sheetFormatPr defaultRowHeight="14.4" x14ac:dyDescent="0.3"/>
  <cols>
    <col min="2" max="2" width="10.6640625" bestFit="1" customWidth="1"/>
    <col min="3" max="3" width="10.88671875" bestFit="1" customWidth="1"/>
    <col min="7" max="7" width="13" customWidth="1"/>
    <col min="8" max="8" width="25.6640625" bestFit="1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4.75" customHeight="1" x14ac:dyDescent="0.3">
      <c r="A2" s="2">
        <v>1</v>
      </c>
      <c r="B2" s="8" t="s">
        <v>498</v>
      </c>
      <c r="C2" s="10" t="s">
        <v>495</v>
      </c>
      <c r="D2" s="3">
        <v>80</v>
      </c>
      <c r="E2" s="3"/>
      <c r="F2" s="3">
        <v>80</v>
      </c>
      <c r="G2" s="46" t="s">
        <v>499</v>
      </c>
      <c r="H2" s="47"/>
    </row>
    <row r="3" spans="1:9" ht="22.5" customHeight="1" x14ac:dyDescent="0.3">
      <c r="A3" s="2">
        <v>2</v>
      </c>
      <c r="B3" s="8" t="s">
        <v>498</v>
      </c>
      <c r="C3" s="10" t="s">
        <v>669</v>
      </c>
      <c r="D3" s="3"/>
      <c r="E3" s="3">
        <v>3</v>
      </c>
      <c r="F3" s="3">
        <f>F2-E3</f>
        <v>77</v>
      </c>
      <c r="G3" s="17" t="s">
        <v>670</v>
      </c>
      <c r="H3" s="17" t="s">
        <v>671</v>
      </c>
    </row>
    <row r="4" spans="1:9" ht="21" x14ac:dyDescent="0.7">
      <c r="A4" s="2">
        <v>3</v>
      </c>
      <c r="B4" s="8" t="s">
        <v>498</v>
      </c>
      <c r="C4" s="10" t="s">
        <v>781</v>
      </c>
      <c r="D4" s="3"/>
      <c r="E4" s="3">
        <v>60</v>
      </c>
      <c r="F4" s="3">
        <f>F3-E4</f>
        <v>17</v>
      </c>
      <c r="G4" s="3">
        <v>4585</v>
      </c>
      <c r="H4" s="5" t="s">
        <v>80</v>
      </c>
    </row>
    <row r="5" spans="1:9" ht="21" x14ac:dyDescent="0.7">
      <c r="A5" s="2">
        <v>4</v>
      </c>
      <c r="B5" s="8" t="s">
        <v>498</v>
      </c>
      <c r="C5" s="10" t="s">
        <v>943</v>
      </c>
      <c r="D5" s="3"/>
      <c r="E5" s="3">
        <v>10</v>
      </c>
      <c r="F5" s="3">
        <f>F4-E5</f>
        <v>7</v>
      </c>
      <c r="G5" s="3">
        <v>4765</v>
      </c>
      <c r="H5" s="5" t="s">
        <v>79</v>
      </c>
      <c r="I5" s="20"/>
    </row>
    <row r="6" spans="1:9" ht="20.25" customHeight="1" x14ac:dyDescent="0.3">
      <c r="A6" s="2">
        <v>5</v>
      </c>
      <c r="B6" s="8" t="s">
        <v>498</v>
      </c>
      <c r="C6" s="10" t="s">
        <v>999</v>
      </c>
      <c r="D6" s="3">
        <v>32</v>
      </c>
      <c r="E6" s="3"/>
      <c r="F6" s="3">
        <f>F5+D6</f>
        <v>39</v>
      </c>
      <c r="G6" s="46" t="s">
        <v>1000</v>
      </c>
      <c r="H6" s="47"/>
      <c r="I6" t="s">
        <v>1001</v>
      </c>
    </row>
    <row r="7" spans="1:9" ht="21" x14ac:dyDescent="0.7">
      <c r="A7" s="2">
        <v>6</v>
      </c>
      <c r="B7" s="8" t="s">
        <v>498</v>
      </c>
      <c r="C7" s="10" t="s">
        <v>1007</v>
      </c>
      <c r="D7" s="3"/>
      <c r="E7" s="3">
        <v>39</v>
      </c>
      <c r="F7" s="3">
        <f>F6-E7</f>
        <v>0</v>
      </c>
      <c r="G7" s="3">
        <v>4881</v>
      </c>
      <c r="H7" s="5" t="s">
        <v>80</v>
      </c>
    </row>
    <row r="8" spans="1:9" ht="21" x14ac:dyDescent="0.7">
      <c r="A8" s="2">
        <v>7</v>
      </c>
      <c r="B8" s="8" t="s">
        <v>498</v>
      </c>
      <c r="C8" s="10" t="s">
        <v>1158</v>
      </c>
      <c r="D8" s="3">
        <v>80</v>
      </c>
      <c r="E8" s="3"/>
      <c r="F8" s="3">
        <v>80</v>
      </c>
      <c r="G8" s="42" t="s">
        <v>1159</v>
      </c>
      <c r="H8" s="43"/>
    </row>
    <row r="9" spans="1:9" ht="21" x14ac:dyDescent="0.7">
      <c r="A9" s="2">
        <v>8</v>
      </c>
      <c r="B9" s="8" t="s">
        <v>498</v>
      </c>
      <c r="C9" s="10" t="s">
        <v>1164</v>
      </c>
      <c r="D9" s="3"/>
      <c r="E9" s="3">
        <v>28</v>
      </c>
      <c r="F9" s="3">
        <f>F8-E9</f>
        <v>52</v>
      </c>
      <c r="G9" s="3">
        <v>5129</v>
      </c>
      <c r="H9" s="5" t="s">
        <v>80</v>
      </c>
    </row>
    <row r="10" spans="1:9" ht="21" x14ac:dyDescent="0.7">
      <c r="A10" s="2">
        <v>9</v>
      </c>
      <c r="B10" s="8" t="s">
        <v>498</v>
      </c>
      <c r="C10" s="10" t="s">
        <v>1188</v>
      </c>
      <c r="D10" s="3"/>
      <c r="E10" s="3">
        <v>33</v>
      </c>
      <c r="F10" s="3">
        <f>F9-E10</f>
        <v>19</v>
      </c>
      <c r="G10" s="3">
        <v>5154</v>
      </c>
      <c r="H10" s="5" t="s">
        <v>79</v>
      </c>
    </row>
    <row r="11" spans="1:9" ht="21" x14ac:dyDescent="0.7">
      <c r="A11" s="2">
        <v>10</v>
      </c>
      <c r="B11" s="8" t="s">
        <v>498</v>
      </c>
      <c r="C11" s="10" t="s">
        <v>1311</v>
      </c>
      <c r="D11" s="3"/>
      <c r="E11" s="3">
        <v>5</v>
      </c>
      <c r="F11" s="3">
        <f>F10-E11</f>
        <v>14</v>
      </c>
      <c r="G11" s="3">
        <v>5312</v>
      </c>
      <c r="H11" s="5" t="s">
        <v>80</v>
      </c>
    </row>
    <row r="12" spans="1:9" ht="20.25" customHeight="1" x14ac:dyDescent="0.7">
      <c r="A12" s="2">
        <v>11</v>
      </c>
      <c r="B12" s="8" t="s">
        <v>498</v>
      </c>
      <c r="C12" s="10" t="s">
        <v>1372</v>
      </c>
      <c r="D12" s="3">
        <v>20</v>
      </c>
      <c r="E12" s="3"/>
      <c r="F12" s="3">
        <f>F11+D12</f>
        <v>34</v>
      </c>
      <c r="G12" s="42" t="s">
        <v>1371</v>
      </c>
      <c r="H12" s="43"/>
    </row>
    <row r="13" spans="1:9" ht="21" x14ac:dyDescent="0.7">
      <c r="A13" s="2">
        <v>12</v>
      </c>
      <c r="B13" s="8" t="s">
        <v>498</v>
      </c>
      <c r="C13" s="10" t="s">
        <v>1409</v>
      </c>
      <c r="D13" s="3"/>
      <c r="E13" s="3">
        <v>13</v>
      </c>
      <c r="F13" s="3">
        <f>F12-E13</f>
        <v>21</v>
      </c>
      <c r="G13" s="3">
        <v>5414</v>
      </c>
      <c r="H13" s="5" t="s">
        <v>80</v>
      </c>
    </row>
    <row r="14" spans="1:9" ht="21" x14ac:dyDescent="0.7">
      <c r="A14" s="2">
        <v>13</v>
      </c>
      <c r="B14" s="8" t="s">
        <v>498</v>
      </c>
      <c r="C14" s="10" t="s">
        <v>1408</v>
      </c>
      <c r="D14" s="3"/>
      <c r="E14" s="3">
        <v>9</v>
      </c>
      <c r="F14" s="3">
        <f>F13-E14</f>
        <v>12</v>
      </c>
      <c r="G14" s="3">
        <v>5415</v>
      </c>
      <c r="H14" s="5" t="s">
        <v>412</v>
      </c>
    </row>
    <row r="15" spans="1:9" ht="21" x14ac:dyDescent="0.7">
      <c r="A15" s="2">
        <v>14</v>
      </c>
      <c r="B15" s="8" t="s">
        <v>498</v>
      </c>
      <c r="C15" s="10" t="s">
        <v>1447</v>
      </c>
      <c r="D15" s="3"/>
      <c r="E15" s="3">
        <v>10</v>
      </c>
      <c r="F15" s="3">
        <f>F14-E15</f>
        <v>2</v>
      </c>
      <c r="G15" s="3">
        <v>5456</v>
      </c>
      <c r="H15" s="5" t="s">
        <v>412</v>
      </c>
    </row>
    <row r="16" spans="1:9" ht="21" x14ac:dyDescent="0.7">
      <c r="A16" s="2">
        <v>15</v>
      </c>
      <c r="B16" s="8" t="s">
        <v>498</v>
      </c>
      <c r="C16" s="10" t="s">
        <v>1557</v>
      </c>
      <c r="D16" s="3"/>
      <c r="E16" s="3">
        <v>2</v>
      </c>
      <c r="F16" s="3">
        <f>F15-E16</f>
        <v>0</v>
      </c>
      <c r="G16" s="3">
        <v>5595</v>
      </c>
      <c r="H16" s="5" t="s">
        <v>1087</v>
      </c>
    </row>
    <row r="17" spans="1:9" ht="20.25" customHeight="1" x14ac:dyDescent="0.7">
      <c r="A17" s="2">
        <v>16</v>
      </c>
      <c r="B17" s="8" t="s">
        <v>498</v>
      </c>
      <c r="C17" s="10" t="s">
        <v>1594</v>
      </c>
      <c r="D17" s="3">
        <v>96</v>
      </c>
      <c r="E17" s="3"/>
      <c r="F17" s="3">
        <v>96</v>
      </c>
      <c r="G17" s="42" t="s">
        <v>1595</v>
      </c>
      <c r="H17" s="43"/>
    </row>
    <row r="18" spans="1:9" ht="21" x14ac:dyDescent="0.7">
      <c r="A18" s="2">
        <v>17</v>
      </c>
      <c r="B18" s="8" t="s">
        <v>498</v>
      </c>
      <c r="C18" s="10" t="s">
        <v>1604</v>
      </c>
      <c r="D18" s="3"/>
      <c r="E18" s="3">
        <v>67</v>
      </c>
      <c r="F18" s="3">
        <f t="shared" ref="F18:F23" si="0">F17-E18</f>
        <v>29</v>
      </c>
      <c r="G18" s="3">
        <v>5684</v>
      </c>
      <c r="H18" s="5" t="s">
        <v>80</v>
      </c>
    </row>
    <row r="19" spans="1:9" ht="21" x14ac:dyDescent="0.7">
      <c r="A19" s="2">
        <v>18</v>
      </c>
      <c r="B19" s="8" t="s">
        <v>498</v>
      </c>
      <c r="C19" s="10" t="s">
        <v>1610</v>
      </c>
      <c r="D19" s="3"/>
      <c r="E19" s="3">
        <v>1</v>
      </c>
      <c r="F19" s="3">
        <f t="shared" si="0"/>
        <v>28</v>
      </c>
      <c r="G19" s="3">
        <v>5709</v>
      </c>
      <c r="H19" s="5" t="s">
        <v>933</v>
      </c>
    </row>
    <row r="20" spans="1:9" ht="21" x14ac:dyDescent="0.7">
      <c r="A20" s="2">
        <v>19</v>
      </c>
      <c r="B20" s="8" t="s">
        <v>498</v>
      </c>
      <c r="C20" s="10" t="s">
        <v>1619</v>
      </c>
      <c r="D20" s="3"/>
      <c r="E20" s="3">
        <v>1</v>
      </c>
      <c r="F20" s="3">
        <f t="shared" si="0"/>
        <v>27</v>
      </c>
      <c r="G20" s="3">
        <v>5715</v>
      </c>
      <c r="H20" s="5" t="s">
        <v>1620</v>
      </c>
    </row>
    <row r="21" spans="1:9" ht="21" x14ac:dyDescent="0.7">
      <c r="A21" s="2">
        <v>20</v>
      </c>
      <c r="B21" s="8" t="s">
        <v>498</v>
      </c>
      <c r="C21" s="10" t="s">
        <v>1643</v>
      </c>
      <c r="D21" s="3"/>
      <c r="E21" s="3">
        <v>2</v>
      </c>
      <c r="F21" s="3">
        <f t="shared" si="0"/>
        <v>25</v>
      </c>
      <c r="G21" s="3">
        <v>5734</v>
      </c>
      <c r="H21" s="5" t="s">
        <v>80</v>
      </c>
    </row>
    <row r="22" spans="1:9" ht="21" x14ac:dyDescent="0.7">
      <c r="A22" s="2">
        <v>21</v>
      </c>
      <c r="B22" s="8" t="s">
        <v>498</v>
      </c>
      <c r="C22" s="10" t="s">
        <v>1643</v>
      </c>
      <c r="D22" s="3"/>
      <c r="E22" s="3">
        <v>16</v>
      </c>
      <c r="F22" s="3">
        <f t="shared" si="0"/>
        <v>9</v>
      </c>
      <c r="G22" s="3">
        <v>5736</v>
      </c>
      <c r="H22" s="5" t="s">
        <v>1644</v>
      </c>
    </row>
    <row r="23" spans="1:9" ht="21" x14ac:dyDescent="0.7">
      <c r="A23" s="2">
        <v>22</v>
      </c>
      <c r="B23" s="8" t="s">
        <v>498</v>
      </c>
      <c r="C23" s="10" t="s">
        <v>1648</v>
      </c>
      <c r="D23" s="3"/>
      <c r="E23" s="3">
        <v>9</v>
      </c>
      <c r="F23" s="3">
        <f t="shared" si="0"/>
        <v>0</v>
      </c>
      <c r="G23" s="3">
        <v>5740</v>
      </c>
      <c r="H23" s="5" t="s">
        <v>80</v>
      </c>
    </row>
    <row r="24" spans="1:9" ht="21" x14ac:dyDescent="0.7">
      <c r="A24" s="2">
        <v>23</v>
      </c>
      <c r="B24" s="8" t="s">
        <v>498</v>
      </c>
      <c r="C24" s="10" t="s">
        <v>1708</v>
      </c>
      <c r="D24" s="3">
        <v>56</v>
      </c>
      <c r="E24" s="3"/>
      <c r="F24" s="3">
        <v>56</v>
      </c>
      <c r="H24" s="27" t="s">
        <v>1707</v>
      </c>
    </row>
    <row r="25" spans="1:9" ht="21" x14ac:dyDescent="0.7">
      <c r="A25" s="2">
        <v>24</v>
      </c>
      <c r="B25" s="8" t="s">
        <v>498</v>
      </c>
      <c r="C25" s="10" t="s">
        <v>1713</v>
      </c>
      <c r="D25" s="3"/>
      <c r="E25" s="3">
        <v>15</v>
      </c>
      <c r="F25" s="3">
        <f>F24-E25</f>
        <v>41</v>
      </c>
      <c r="G25" s="3">
        <v>5858</v>
      </c>
      <c r="H25" s="5" t="s">
        <v>80</v>
      </c>
    </row>
    <row r="26" spans="1:9" ht="21" x14ac:dyDescent="0.7">
      <c r="A26" s="2">
        <v>25</v>
      </c>
      <c r="B26" s="8" t="s">
        <v>498</v>
      </c>
      <c r="C26" s="10" t="s">
        <v>1807</v>
      </c>
      <c r="D26" s="3"/>
      <c r="E26" s="3">
        <v>35</v>
      </c>
      <c r="F26" s="3">
        <f>F25-E26</f>
        <v>6</v>
      </c>
      <c r="G26" s="3" t="s">
        <v>1816</v>
      </c>
      <c r="H26" s="5" t="s">
        <v>1817</v>
      </c>
      <c r="I26" t="s">
        <v>1818</v>
      </c>
    </row>
    <row r="27" spans="1:9" ht="21" x14ac:dyDescent="0.7">
      <c r="A27" s="2">
        <v>26</v>
      </c>
      <c r="B27" s="8" t="s">
        <v>498</v>
      </c>
      <c r="C27" s="10" t="s">
        <v>1824</v>
      </c>
      <c r="D27" s="3"/>
      <c r="E27" s="3">
        <v>1</v>
      </c>
      <c r="F27" s="3">
        <f>F26-E27</f>
        <v>5</v>
      </c>
      <c r="G27" s="3">
        <v>6048</v>
      </c>
      <c r="H27" s="5" t="s">
        <v>80</v>
      </c>
    </row>
    <row r="28" spans="1:9" ht="21" x14ac:dyDescent="0.7">
      <c r="A28" s="2">
        <v>27</v>
      </c>
      <c r="B28" s="8" t="s">
        <v>498</v>
      </c>
      <c r="C28" s="10" t="s">
        <v>1827</v>
      </c>
      <c r="D28" s="3"/>
      <c r="E28" s="3">
        <v>2</v>
      </c>
      <c r="F28" s="3">
        <f>F27-E28</f>
        <v>3</v>
      </c>
      <c r="G28" s="3" t="s">
        <v>1856</v>
      </c>
      <c r="H28" s="5" t="s">
        <v>80</v>
      </c>
      <c r="I28" t="s">
        <v>1818</v>
      </c>
    </row>
    <row r="29" spans="1:9" ht="21" x14ac:dyDescent="0.7">
      <c r="A29" s="2">
        <v>28</v>
      </c>
      <c r="B29" s="8" t="s">
        <v>498</v>
      </c>
      <c r="C29" s="10" t="s">
        <v>1832</v>
      </c>
      <c r="D29" s="3"/>
      <c r="E29" s="3">
        <v>3</v>
      </c>
      <c r="F29" s="3">
        <f>F28-E29</f>
        <v>0</v>
      </c>
      <c r="G29" s="3">
        <v>6063</v>
      </c>
      <c r="H29" s="5" t="s">
        <v>80</v>
      </c>
    </row>
    <row r="30" spans="1:9" ht="21" x14ac:dyDescent="0.7">
      <c r="A30" s="2">
        <v>29</v>
      </c>
      <c r="B30" s="8" t="s">
        <v>498</v>
      </c>
      <c r="C30" s="10" t="s">
        <v>1849</v>
      </c>
      <c r="D30" s="3">
        <v>48</v>
      </c>
      <c r="E30" s="3"/>
      <c r="F30" s="3">
        <v>48</v>
      </c>
      <c r="G30" s="3"/>
      <c r="H30" s="25" t="s">
        <v>1850</v>
      </c>
    </row>
    <row r="31" spans="1:9" ht="21" x14ac:dyDescent="0.7">
      <c r="A31" s="2">
        <v>30</v>
      </c>
      <c r="B31" s="8" t="s">
        <v>498</v>
      </c>
      <c r="C31" s="10" t="s">
        <v>1851</v>
      </c>
      <c r="D31" s="3"/>
      <c r="E31" s="3">
        <v>12</v>
      </c>
      <c r="F31" s="3">
        <f>F30-E31</f>
        <v>36</v>
      </c>
      <c r="G31" s="3">
        <v>6078</v>
      </c>
      <c r="H31" s="5" t="s">
        <v>80</v>
      </c>
    </row>
    <row r="32" spans="1:9" ht="21" x14ac:dyDescent="0.7">
      <c r="A32" s="2">
        <v>31</v>
      </c>
      <c r="B32" s="8" t="s">
        <v>498</v>
      </c>
      <c r="C32" s="10" t="s">
        <v>1855</v>
      </c>
      <c r="D32" s="3"/>
      <c r="E32" s="3">
        <v>12</v>
      </c>
      <c r="F32" s="3">
        <f>F31-E32</f>
        <v>24</v>
      </c>
      <c r="G32" s="3" t="s">
        <v>1856</v>
      </c>
      <c r="H32" s="5" t="s">
        <v>80</v>
      </c>
      <c r="I32" t="s">
        <v>1818</v>
      </c>
    </row>
    <row r="33" spans="1:9" ht="21" x14ac:dyDescent="0.7">
      <c r="A33" s="2">
        <v>32</v>
      </c>
      <c r="B33" s="8" t="s">
        <v>498</v>
      </c>
      <c r="C33" s="10" t="s">
        <v>1893</v>
      </c>
      <c r="D33" s="3"/>
      <c r="E33" s="3">
        <v>24</v>
      </c>
      <c r="F33" s="3">
        <f>F32-E33</f>
        <v>0</v>
      </c>
      <c r="G33" s="3" t="s">
        <v>1856</v>
      </c>
      <c r="H33" s="5" t="s">
        <v>80</v>
      </c>
      <c r="I33" t="s">
        <v>1818</v>
      </c>
    </row>
    <row r="34" spans="1:9" ht="21" x14ac:dyDescent="0.7">
      <c r="A34" s="2">
        <v>33</v>
      </c>
      <c r="B34" s="8" t="s">
        <v>498</v>
      </c>
      <c r="C34" s="10" t="s">
        <v>1934</v>
      </c>
      <c r="D34" s="3">
        <v>396</v>
      </c>
      <c r="E34" s="3"/>
      <c r="F34" s="3">
        <v>396</v>
      </c>
      <c r="G34" s="3"/>
      <c r="H34" s="19" t="s">
        <v>1936</v>
      </c>
    </row>
    <row r="35" spans="1:9" ht="21" x14ac:dyDescent="0.7">
      <c r="A35" s="2">
        <v>34</v>
      </c>
      <c r="B35" s="8" t="s">
        <v>498</v>
      </c>
      <c r="C35" s="10" t="s">
        <v>1939</v>
      </c>
      <c r="D35" s="3"/>
      <c r="E35" s="3">
        <v>394</v>
      </c>
      <c r="F35" s="3">
        <f>F34-E35</f>
        <v>2</v>
      </c>
      <c r="G35" s="3">
        <v>6264</v>
      </c>
      <c r="H35" s="5" t="s">
        <v>80</v>
      </c>
      <c r="I35" t="s">
        <v>1818</v>
      </c>
    </row>
    <row r="36" spans="1:9" ht="21" x14ac:dyDescent="0.7">
      <c r="A36" s="2">
        <v>35</v>
      </c>
      <c r="B36" s="8" t="s">
        <v>498</v>
      </c>
      <c r="C36" s="10" t="s">
        <v>2077</v>
      </c>
      <c r="D36" s="3"/>
      <c r="E36" s="3">
        <v>1</v>
      </c>
      <c r="F36" s="3">
        <f>F35-E36</f>
        <v>1</v>
      </c>
      <c r="G36" s="3">
        <v>6351</v>
      </c>
      <c r="H36" s="5" t="s">
        <v>2078</v>
      </c>
    </row>
    <row r="37" spans="1:9" ht="21" x14ac:dyDescent="0.7">
      <c r="A37" s="2">
        <v>36</v>
      </c>
      <c r="B37" s="8" t="s">
        <v>498</v>
      </c>
      <c r="C37" s="10" t="s">
        <v>2080</v>
      </c>
      <c r="D37" s="3">
        <v>108</v>
      </c>
      <c r="E37" s="3"/>
      <c r="F37" s="3">
        <v>109</v>
      </c>
      <c r="G37" s="3"/>
      <c r="H37" s="19" t="s">
        <v>2081</v>
      </c>
    </row>
    <row r="38" spans="1:9" ht="21" x14ac:dyDescent="0.7">
      <c r="A38" s="2">
        <v>37</v>
      </c>
      <c r="B38" s="8" t="s">
        <v>498</v>
      </c>
      <c r="C38" s="10" t="s">
        <v>2090</v>
      </c>
      <c r="D38" s="3"/>
      <c r="E38" s="3">
        <v>108</v>
      </c>
      <c r="F38" s="3">
        <f>F37-E38</f>
        <v>1</v>
      </c>
      <c r="G38" s="3">
        <v>34</v>
      </c>
      <c r="H38" s="5" t="s">
        <v>80</v>
      </c>
      <c r="I38" t="s">
        <v>1940</v>
      </c>
    </row>
    <row r="39" spans="1:9" ht="21" x14ac:dyDescent="0.7">
      <c r="A39" s="2">
        <v>38</v>
      </c>
      <c r="B39" s="8" t="s">
        <v>498</v>
      </c>
      <c r="C39" s="10" t="s">
        <v>2124</v>
      </c>
      <c r="D39" s="3"/>
      <c r="E39" s="3">
        <v>1</v>
      </c>
      <c r="F39" s="3">
        <f>F38-E39</f>
        <v>0</v>
      </c>
      <c r="G39" s="3">
        <v>6419</v>
      </c>
      <c r="H39" s="5" t="s">
        <v>738</v>
      </c>
    </row>
    <row r="40" spans="1:9" ht="21" x14ac:dyDescent="0.7">
      <c r="A40" s="2">
        <v>39</v>
      </c>
      <c r="B40" s="8" t="s">
        <v>498</v>
      </c>
      <c r="C40" s="10" t="s">
        <v>2216</v>
      </c>
      <c r="D40" s="3">
        <v>32</v>
      </c>
      <c r="E40" s="3"/>
      <c r="F40" s="3">
        <v>32</v>
      </c>
      <c r="G40" s="3"/>
      <c r="H40" s="19" t="s">
        <v>2217</v>
      </c>
    </row>
    <row r="41" spans="1:9" ht="21" x14ac:dyDescent="0.7">
      <c r="A41" s="2">
        <v>40</v>
      </c>
      <c r="B41" s="8" t="s">
        <v>498</v>
      </c>
      <c r="C41" s="10" t="s">
        <v>2277</v>
      </c>
      <c r="D41" s="3"/>
      <c r="E41" s="3">
        <v>13</v>
      </c>
      <c r="F41" s="3">
        <f>F40-E41</f>
        <v>19</v>
      </c>
      <c r="G41" s="3">
        <v>6684</v>
      </c>
      <c r="H41" s="5" t="s">
        <v>79</v>
      </c>
    </row>
    <row r="42" spans="1:9" ht="21" x14ac:dyDescent="0.7">
      <c r="A42" s="2">
        <v>41</v>
      </c>
      <c r="B42" s="8" t="s">
        <v>498</v>
      </c>
      <c r="C42" s="10" t="s">
        <v>2343</v>
      </c>
      <c r="D42" s="3"/>
      <c r="E42" s="3">
        <v>15</v>
      </c>
      <c r="F42" s="3">
        <f>F41-E42</f>
        <v>4</v>
      </c>
      <c r="G42" s="3">
        <v>6783</v>
      </c>
      <c r="H42" s="5" t="s">
        <v>79</v>
      </c>
    </row>
    <row r="43" spans="1:9" ht="21" x14ac:dyDescent="0.7">
      <c r="A43" s="2">
        <v>42</v>
      </c>
      <c r="B43" s="8" t="s">
        <v>498</v>
      </c>
      <c r="C43" s="10" t="s">
        <v>2385</v>
      </c>
      <c r="D43" s="3"/>
      <c r="E43" s="3">
        <v>2</v>
      </c>
      <c r="F43" s="3">
        <f>F42-E43</f>
        <v>2</v>
      </c>
      <c r="G43" s="3">
        <v>6870</v>
      </c>
      <c r="H43" s="5" t="s">
        <v>2387</v>
      </c>
    </row>
    <row r="44" spans="1:9" ht="21" x14ac:dyDescent="0.7">
      <c r="A44" s="2">
        <v>43</v>
      </c>
      <c r="B44" s="8" t="s">
        <v>498</v>
      </c>
      <c r="C44" s="10" t="s">
        <v>2425</v>
      </c>
      <c r="D44" s="3">
        <v>80</v>
      </c>
      <c r="E44" s="3"/>
      <c r="F44" s="3">
        <f>F43+D44</f>
        <v>82</v>
      </c>
      <c r="G44" s="3"/>
      <c r="H44" s="19" t="s">
        <v>2428</v>
      </c>
    </row>
    <row r="45" spans="1:9" ht="21" x14ac:dyDescent="0.7">
      <c r="A45" s="2">
        <v>44</v>
      </c>
      <c r="B45" s="8" t="s">
        <v>498</v>
      </c>
      <c r="C45" s="10" t="s">
        <v>2445</v>
      </c>
      <c r="D45" s="3"/>
      <c r="E45" s="3">
        <v>15</v>
      </c>
      <c r="F45" s="3">
        <f t="shared" ref="F45:F50" si="1">F44-E45</f>
        <v>67</v>
      </c>
      <c r="G45" s="3">
        <v>6958</v>
      </c>
      <c r="H45" s="5" t="s">
        <v>80</v>
      </c>
    </row>
    <row r="46" spans="1:9" ht="21" x14ac:dyDescent="0.7">
      <c r="A46" s="2">
        <v>45</v>
      </c>
      <c r="B46" s="8" t="s">
        <v>498</v>
      </c>
      <c r="C46" s="10" t="s">
        <v>2479</v>
      </c>
      <c r="D46" s="3"/>
      <c r="E46" s="3">
        <v>3</v>
      </c>
      <c r="F46" s="3">
        <f t="shared" si="1"/>
        <v>64</v>
      </c>
      <c r="G46" s="3">
        <v>7010</v>
      </c>
      <c r="H46" s="5" t="s">
        <v>80</v>
      </c>
    </row>
    <row r="47" spans="1:9" ht="21" x14ac:dyDescent="0.7">
      <c r="A47" s="2">
        <v>46</v>
      </c>
      <c r="B47" s="8" t="s">
        <v>498</v>
      </c>
      <c r="C47" s="10" t="s">
        <v>2494</v>
      </c>
      <c r="D47" s="3"/>
      <c r="E47" s="3">
        <v>5</v>
      </c>
      <c r="F47" s="3">
        <f t="shared" si="1"/>
        <v>59</v>
      </c>
      <c r="G47" s="3">
        <v>7031</v>
      </c>
      <c r="H47" s="5" t="s">
        <v>1673</v>
      </c>
    </row>
    <row r="48" spans="1:9" ht="21" x14ac:dyDescent="0.7">
      <c r="A48" s="2">
        <v>47</v>
      </c>
      <c r="B48" s="8" t="s">
        <v>498</v>
      </c>
      <c r="C48" s="10" t="s">
        <v>2514</v>
      </c>
      <c r="D48" s="3"/>
      <c r="E48" s="3">
        <v>4</v>
      </c>
      <c r="F48" s="3">
        <f t="shared" si="1"/>
        <v>55</v>
      </c>
      <c r="G48" s="3">
        <v>7089</v>
      </c>
      <c r="H48" s="5" t="s">
        <v>2518</v>
      </c>
    </row>
    <row r="49" spans="1:8" ht="21" x14ac:dyDescent="0.7">
      <c r="A49" s="2">
        <v>48</v>
      </c>
      <c r="B49" s="8" t="s">
        <v>498</v>
      </c>
      <c r="C49" s="10" t="s">
        <v>2552</v>
      </c>
      <c r="D49" s="3"/>
      <c r="E49" s="3">
        <v>14</v>
      </c>
      <c r="F49" s="3">
        <f t="shared" si="1"/>
        <v>41</v>
      </c>
      <c r="G49" s="3">
        <v>7161</v>
      </c>
      <c r="H49" s="5" t="s">
        <v>80</v>
      </c>
    </row>
    <row r="50" spans="1:8" ht="21" x14ac:dyDescent="0.7">
      <c r="A50" s="2">
        <v>49</v>
      </c>
      <c r="B50" s="8" t="s">
        <v>498</v>
      </c>
      <c r="C50" s="10" t="s">
        <v>2553</v>
      </c>
      <c r="D50" s="3"/>
      <c r="E50" s="3">
        <v>9</v>
      </c>
      <c r="F50" s="3">
        <f t="shared" si="1"/>
        <v>32</v>
      </c>
      <c r="G50" s="3">
        <v>7169</v>
      </c>
      <c r="H50" s="5" t="s">
        <v>80</v>
      </c>
    </row>
    <row r="51" spans="1:8" ht="21" x14ac:dyDescent="0.7">
      <c r="A51" s="2">
        <v>50</v>
      </c>
      <c r="B51" s="8" t="s">
        <v>498</v>
      </c>
      <c r="C51" s="10" t="s">
        <v>2584</v>
      </c>
      <c r="D51" s="3">
        <v>16</v>
      </c>
      <c r="E51" s="3"/>
      <c r="F51" s="3">
        <f>F50+D51</f>
        <v>48</v>
      </c>
      <c r="G51" s="3"/>
      <c r="H51" s="19" t="s">
        <v>2587</v>
      </c>
    </row>
    <row r="52" spans="1:8" ht="21" x14ac:dyDescent="0.7">
      <c r="A52" s="2">
        <v>51</v>
      </c>
      <c r="B52" s="8" t="s">
        <v>498</v>
      </c>
      <c r="C52" s="10" t="s">
        <v>2596</v>
      </c>
      <c r="D52" s="3"/>
      <c r="E52" s="3">
        <v>25</v>
      </c>
      <c r="F52" s="3">
        <f>F51-E52</f>
        <v>23</v>
      </c>
      <c r="G52" s="3">
        <v>7224</v>
      </c>
      <c r="H52" s="5" t="s">
        <v>80</v>
      </c>
    </row>
    <row r="53" spans="1:8" ht="21" x14ac:dyDescent="0.7">
      <c r="A53" s="2">
        <v>52</v>
      </c>
      <c r="B53" s="8" t="s">
        <v>498</v>
      </c>
      <c r="C53" s="10" t="s">
        <v>2598</v>
      </c>
      <c r="D53" s="3"/>
      <c r="E53" s="3">
        <v>5</v>
      </c>
      <c r="F53" s="3">
        <f>F52-E53</f>
        <v>18</v>
      </c>
      <c r="G53" s="3">
        <v>7226</v>
      </c>
      <c r="H53" s="5" t="s">
        <v>2599</v>
      </c>
    </row>
    <row r="54" spans="1:8" ht="21" x14ac:dyDescent="0.7">
      <c r="A54" s="2">
        <v>53</v>
      </c>
      <c r="B54" s="8" t="s">
        <v>498</v>
      </c>
      <c r="C54" s="10" t="s">
        <v>2602</v>
      </c>
      <c r="D54" s="3"/>
      <c r="E54" s="3">
        <v>6</v>
      </c>
      <c r="F54" s="3">
        <f>F53-E54</f>
        <v>12</v>
      </c>
      <c r="G54" s="3">
        <v>7230</v>
      </c>
      <c r="H54" s="5" t="s">
        <v>80</v>
      </c>
    </row>
    <row r="55" spans="1:8" ht="21" x14ac:dyDescent="0.7">
      <c r="A55" s="2">
        <v>54</v>
      </c>
      <c r="B55" s="8" t="s">
        <v>498</v>
      </c>
      <c r="C55" s="10" t="s">
        <v>2603</v>
      </c>
      <c r="D55" s="3"/>
      <c r="E55" s="3">
        <v>5</v>
      </c>
      <c r="F55" s="3">
        <f>F54-E55</f>
        <v>7</v>
      </c>
      <c r="G55" s="3">
        <v>7236</v>
      </c>
      <c r="H55" s="5" t="s">
        <v>80</v>
      </c>
    </row>
    <row r="56" spans="1:8" ht="21" x14ac:dyDescent="0.7">
      <c r="A56" s="2">
        <v>55</v>
      </c>
      <c r="B56" s="8" t="s">
        <v>498</v>
      </c>
      <c r="C56" s="10" t="s">
        <v>2651</v>
      </c>
      <c r="D56" s="3"/>
      <c r="E56" s="3">
        <v>1</v>
      </c>
      <c r="F56" s="3">
        <f>F55-E56</f>
        <v>6</v>
      </c>
      <c r="G56" s="3">
        <v>7516</v>
      </c>
      <c r="H56" s="5" t="s">
        <v>639</v>
      </c>
    </row>
    <row r="57" spans="1:8" ht="21" x14ac:dyDescent="0.7">
      <c r="A57" s="2">
        <v>56</v>
      </c>
      <c r="B57" s="8" t="s">
        <v>498</v>
      </c>
      <c r="C57" s="10" t="s">
        <v>2675</v>
      </c>
      <c r="D57" s="3">
        <v>3</v>
      </c>
      <c r="E57" s="3"/>
      <c r="F57" s="3">
        <f>F56+D57</f>
        <v>9</v>
      </c>
      <c r="G57" s="3"/>
      <c r="H57" s="19" t="s">
        <v>2677</v>
      </c>
    </row>
    <row r="58" spans="1:8" ht="21" x14ac:dyDescent="0.7">
      <c r="A58" s="2">
        <v>57</v>
      </c>
      <c r="B58" s="8" t="s">
        <v>498</v>
      </c>
      <c r="C58" s="10"/>
      <c r="D58" s="3"/>
      <c r="E58" s="3"/>
      <c r="F58" s="3"/>
      <c r="G58" s="3"/>
      <c r="H58" s="5"/>
    </row>
    <row r="59" spans="1:8" ht="21" x14ac:dyDescent="0.7">
      <c r="A59" s="2">
        <v>58</v>
      </c>
      <c r="B59" s="8" t="s">
        <v>498</v>
      </c>
      <c r="C59" s="10"/>
      <c r="D59" s="3"/>
      <c r="E59" s="3"/>
      <c r="F59" s="3"/>
      <c r="G59" s="3"/>
      <c r="H59" s="5"/>
    </row>
    <row r="60" spans="1:8" ht="21" x14ac:dyDescent="0.7">
      <c r="A60" s="2">
        <v>59</v>
      </c>
      <c r="B60" s="8" t="s">
        <v>498</v>
      </c>
      <c r="C60" s="10"/>
      <c r="D60" s="3"/>
      <c r="E60" s="3"/>
      <c r="F60" s="3"/>
      <c r="G60" s="3"/>
      <c r="H60" s="5"/>
    </row>
  </sheetData>
  <mergeCells count="5">
    <mergeCell ref="G2:H2"/>
    <mergeCell ref="G6:H6"/>
    <mergeCell ref="G8:H8"/>
    <mergeCell ref="G12:H12"/>
    <mergeCell ref="G17:H17"/>
  </mergeCells>
  <phoneticPr fontId="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8" tint="0.39997558519241921"/>
  </sheetPr>
  <dimension ref="A1:I13"/>
  <sheetViews>
    <sheetView rightToLeft="1" zoomScaleNormal="100" workbookViewId="0">
      <selection activeCell="C13" sqref="C13"/>
    </sheetView>
  </sheetViews>
  <sheetFormatPr defaultRowHeight="14.4" x14ac:dyDescent="0.3"/>
  <cols>
    <col min="2" max="2" width="10.44140625" bestFit="1" customWidth="1"/>
    <col min="3" max="3" width="10.6640625" bestFit="1" customWidth="1"/>
    <col min="7" max="7" width="11.88671875" bestFit="1" customWidth="1"/>
    <col min="8" max="8" width="19.44140625" customWidth="1"/>
  </cols>
  <sheetData>
    <row r="1" spans="1:9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9" ht="21" x14ac:dyDescent="0.7">
      <c r="A2" s="2">
        <v>1</v>
      </c>
      <c r="B2" s="8" t="s">
        <v>36</v>
      </c>
      <c r="C2" s="10" t="s">
        <v>77</v>
      </c>
      <c r="D2" s="3">
        <v>24</v>
      </c>
      <c r="E2" s="3"/>
      <c r="F2" s="3">
        <v>24</v>
      </c>
      <c r="G2" s="3"/>
      <c r="H2" s="5"/>
    </row>
    <row r="3" spans="1:9" ht="20.25" customHeight="1" x14ac:dyDescent="0.3">
      <c r="A3" s="2">
        <v>2</v>
      </c>
      <c r="B3" s="8" t="s">
        <v>36</v>
      </c>
      <c r="C3" s="10" t="s">
        <v>495</v>
      </c>
      <c r="D3" s="3">
        <v>24</v>
      </c>
      <c r="E3" s="3"/>
      <c r="F3" s="3">
        <f>F2+D3</f>
        <v>48</v>
      </c>
      <c r="G3" s="46" t="s">
        <v>497</v>
      </c>
      <c r="H3" s="47"/>
    </row>
    <row r="4" spans="1:9" ht="21" x14ac:dyDescent="0.7">
      <c r="A4" s="2">
        <v>3</v>
      </c>
      <c r="B4" s="8" t="s">
        <v>36</v>
      </c>
      <c r="C4" s="10" t="s">
        <v>656</v>
      </c>
      <c r="D4" s="3"/>
      <c r="E4" s="3">
        <v>1</v>
      </c>
      <c r="F4" s="3">
        <f>F3-E4</f>
        <v>47</v>
      </c>
      <c r="G4" s="3" t="s">
        <v>659</v>
      </c>
      <c r="H4" s="5" t="s">
        <v>55</v>
      </c>
    </row>
    <row r="5" spans="1:9" ht="21" x14ac:dyDescent="0.7">
      <c r="A5" s="2">
        <v>4</v>
      </c>
      <c r="B5" s="8" t="s">
        <v>36</v>
      </c>
      <c r="C5" s="10" t="s">
        <v>684</v>
      </c>
      <c r="D5" s="3"/>
      <c r="E5" s="3">
        <v>4</v>
      </c>
      <c r="F5" s="3">
        <f>F4-E5</f>
        <v>43</v>
      </c>
      <c r="G5" s="3" t="s">
        <v>686</v>
      </c>
      <c r="H5" s="5" t="s">
        <v>436</v>
      </c>
    </row>
    <row r="6" spans="1:9" ht="21" x14ac:dyDescent="0.7">
      <c r="A6" s="2">
        <v>5</v>
      </c>
      <c r="B6" s="8" t="s">
        <v>36</v>
      </c>
      <c r="C6" s="10" t="s">
        <v>699</v>
      </c>
      <c r="D6" s="3"/>
      <c r="E6" s="3">
        <v>3</v>
      </c>
      <c r="F6" s="3">
        <f>F5-E6</f>
        <v>40</v>
      </c>
      <c r="G6" s="3" t="s">
        <v>700</v>
      </c>
      <c r="H6" s="5" t="s">
        <v>436</v>
      </c>
    </row>
    <row r="7" spans="1:9" ht="21" x14ac:dyDescent="0.7">
      <c r="A7" s="2">
        <v>6</v>
      </c>
      <c r="B7" s="8" t="s">
        <v>36</v>
      </c>
      <c r="C7" s="10" t="s">
        <v>737</v>
      </c>
      <c r="D7" s="3"/>
      <c r="E7" s="3">
        <v>10</v>
      </c>
      <c r="F7" s="3">
        <f>F6-E7</f>
        <v>30</v>
      </c>
      <c r="G7" s="3">
        <v>4505</v>
      </c>
      <c r="H7" s="5" t="s">
        <v>738</v>
      </c>
    </row>
    <row r="8" spans="1:9" ht="21" x14ac:dyDescent="0.7">
      <c r="A8" s="2">
        <v>7</v>
      </c>
      <c r="B8" s="8" t="s">
        <v>36</v>
      </c>
      <c r="C8" s="10" t="s">
        <v>943</v>
      </c>
      <c r="D8" s="3"/>
      <c r="E8" s="3">
        <v>30</v>
      </c>
      <c r="F8" s="3">
        <f>F7-E8</f>
        <v>0</v>
      </c>
      <c r="G8" s="3">
        <v>4765</v>
      </c>
      <c r="H8" s="5" t="s">
        <v>944</v>
      </c>
      <c r="I8" s="20"/>
    </row>
    <row r="9" spans="1:9" ht="24.75" customHeight="1" x14ac:dyDescent="0.3">
      <c r="A9" s="2">
        <v>8</v>
      </c>
      <c r="B9" s="8" t="s">
        <v>36</v>
      </c>
      <c r="C9" s="10" t="s">
        <v>1708</v>
      </c>
      <c r="D9" s="3">
        <v>48</v>
      </c>
      <c r="E9" s="3"/>
      <c r="F9" s="3">
        <v>48</v>
      </c>
      <c r="H9" s="28" t="s">
        <v>1707</v>
      </c>
    </row>
    <row r="10" spans="1:9" ht="21" x14ac:dyDescent="0.7">
      <c r="A10" s="2">
        <v>9</v>
      </c>
      <c r="B10" s="8" t="s">
        <v>36</v>
      </c>
      <c r="C10" s="10" t="s">
        <v>1733</v>
      </c>
      <c r="D10" s="3"/>
      <c r="E10" s="3">
        <v>1</v>
      </c>
      <c r="F10" s="3">
        <f>F9-E10</f>
        <v>47</v>
      </c>
      <c r="G10" s="3" t="s">
        <v>1734</v>
      </c>
      <c r="H10" s="5" t="s">
        <v>55</v>
      </c>
    </row>
    <row r="11" spans="1:9" ht="21" x14ac:dyDescent="0.7">
      <c r="A11" s="2">
        <v>10</v>
      </c>
      <c r="B11" s="8" t="s">
        <v>36</v>
      </c>
      <c r="C11" s="10" t="s">
        <v>1729</v>
      </c>
      <c r="D11" s="3"/>
      <c r="E11" s="3">
        <v>5</v>
      </c>
      <c r="F11" s="3">
        <f>F10-E11</f>
        <v>42</v>
      </c>
      <c r="G11" s="3">
        <v>5881</v>
      </c>
      <c r="H11" s="5" t="s">
        <v>1730</v>
      </c>
    </row>
    <row r="12" spans="1:9" ht="21" x14ac:dyDescent="0.7">
      <c r="A12" s="2">
        <v>11</v>
      </c>
      <c r="B12" s="8" t="s">
        <v>36</v>
      </c>
      <c r="C12" s="10" t="s">
        <v>1824</v>
      </c>
      <c r="D12" s="3"/>
      <c r="E12" s="3">
        <v>42</v>
      </c>
      <c r="F12" s="3">
        <f>F11-E12</f>
        <v>0</v>
      </c>
      <c r="G12" s="3">
        <v>6048</v>
      </c>
      <c r="H12" s="5" t="s">
        <v>80</v>
      </c>
    </row>
    <row r="13" spans="1:9" ht="21" x14ac:dyDescent="0.7">
      <c r="A13" s="2">
        <v>12</v>
      </c>
      <c r="B13" s="8" t="s">
        <v>36</v>
      </c>
      <c r="C13" s="10"/>
      <c r="D13" s="3"/>
      <c r="E13" s="3"/>
      <c r="F13" s="3"/>
      <c r="G13" s="3"/>
      <c r="H13" s="5"/>
    </row>
  </sheetData>
  <mergeCells count="1">
    <mergeCell ref="G3:H3"/>
  </mergeCells>
  <pageMargins left="0.7" right="0.7" top="0.75" bottom="0.75" header="0.3" footer="0.3"/>
  <pageSetup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 tint="-0.249977111117893"/>
  </sheetPr>
  <dimension ref="A1:H27"/>
  <sheetViews>
    <sheetView rightToLeft="1" zoomScale="110" zoomScaleNormal="110" workbookViewId="0">
      <pane ySplit="1" topLeftCell="A17" activePane="bottomLeft" state="frozen"/>
      <selection pane="bottomLeft" activeCell="G26" sqref="G26"/>
    </sheetView>
  </sheetViews>
  <sheetFormatPr defaultRowHeight="14.4" x14ac:dyDescent="0.3"/>
  <cols>
    <col min="2" max="2" width="10.44140625" bestFit="1" customWidth="1"/>
    <col min="3" max="3" width="10.88671875" bestFit="1" customWidth="1"/>
    <col min="7" max="7" width="11.88671875" bestFit="1" customWidth="1"/>
    <col min="8" max="8" width="13.5546875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37</v>
      </c>
      <c r="C2" s="10" t="s">
        <v>81</v>
      </c>
      <c r="D2" s="3"/>
      <c r="E2" s="3">
        <v>2</v>
      </c>
      <c r="F2" s="3">
        <v>52</v>
      </c>
      <c r="G2" s="3">
        <v>3552</v>
      </c>
      <c r="H2" s="5" t="s">
        <v>2356</v>
      </c>
    </row>
    <row r="3" spans="1:8" ht="21" x14ac:dyDescent="0.7">
      <c r="A3" s="2">
        <v>2</v>
      </c>
      <c r="B3" s="8" t="s">
        <v>37</v>
      </c>
      <c r="C3" s="10" t="s">
        <v>122</v>
      </c>
      <c r="D3" s="3"/>
      <c r="E3" s="3">
        <v>1</v>
      </c>
      <c r="F3" s="3">
        <f>F2-E3</f>
        <v>51</v>
      </c>
      <c r="G3" s="3" t="s">
        <v>123</v>
      </c>
      <c r="H3" s="5" t="s">
        <v>55</v>
      </c>
    </row>
    <row r="4" spans="1:8" ht="20.25" customHeight="1" x14ac:dyDescent="0.3">
      <c r="A4" s="2">
        <v>3</v>
      </c>
      <c r="B4" s="8"/>
      <c r="C4" s="10"/>
      <c r="D4" s="3"/>
      <c r="E4" s="3">
        <v>4</v>
      </c>
      <c r="F4" s="3">
        <f>F3+E4</f>
        <v>55</v>
      </c>
      <c r="G4" s="46" t="s">
        <v>197</v>
      </c>
      <c r="H4" s="47"/>
    </row>
    <row r="5" spans="1:8" ht="21" x14ac:dyDescent="0.7">
      <c r="A5" s="2">
        <v>4</v>
      </c>
      <c r="B5" s="8" t="s">
        <v>37</v>
      </c>
      <c r="C5" s="10" t="s">
        <v>192</v>
      </c>
      <c r="D5" s="3"/>
      <c r="E5" s="3">
        <v>1</v>
      </c>
      <c r="F5" s="3">
        <f t="shared" ref="F5:F10" si="0">F4-E5</f>
        <v>54</v>
      </c>
      <c r="G5" s="3">
        <v>3782</v>
      </c>
      <c r="H5" s="5" t="s">
        <v>2356</v>
      </c>
    </row>
    <row r="6" spans="1:8" ht="21" x14ac:dyDescent="0.7">
      <c r="A6" s="2">
        <v>5</v>
      </c>
      <c r="B6" s="8" t="s">
        <v>37</v>
      </c>
      <c r="C6" s="10" t="s">
        <v>423</v>
      </c>
      <c r="D6" s="3"/>
      <c r="E6" s="3">
        <v>2</v>
      </c>
      <c r="F6" s="3">
        <f t="shared" si="0"/>
        <v>52</v>
      </c>
      <c r="G6" s="3">
        <v>4099</v>
      </c>
      <c r="H6" s="5" t="s">
        <v>2356</v>
      </c>
    </row>
    <row r="7" spans="1:8" ht="21" x14ac:dyDescent="0.7">
      <c r="A7" s="2">
        <v>6</v>
      </c>
      <c r="B7" s="8" t="s">
        <v>37</v>
      </c>
      <c r="C7" s="10" t="s">
        <v>602</v>
      </c>
      <c r="D7" s="3"/>
      <c r="E7" s="3">
        <v>1</v>
      </c>
      <c r="F7" s="3">
        <f t="shared" si="0"/>
        <v>51</v>
      </c>
      <c r="G7" s="3">
        <v>4322</v>
      </c>
      <c r="H7" s="5" t="s">
        <v>2356</v>
      </c>
    </row>
    <row r="8" spans="1:8" ht="21" x14ac:dyDescent="0.7">
      <c r="A8" s="2">
        <v>7</v>
      </c>
      <c r="B8" s="8" t="s">
        <v>37</v>
      </c>
      <c r="C8" s="10" t="s">
        <v>1037</v>
      </c>
      <c r="D8" s="3"/>
      <c r="E8" s="3">
        <v>1</v>
      </c>
      <c r="F8" s="3">
        <f t="shared" si="0"/>
        <v>50</v>
      </c>
      <c r="G8" s="3">
        <v>4920</v>
      </c>
      <c r="H8" s="5" t="s">
        <v>2356</v>
      </c>
    </row>
    <row r="9" spans="1:8" ht="21" x14ac:dyDescent="0.7">
      <c r="A9" s="2">
        <v>8</v>
      </c>
      <c r="B9" s="8" t="s">
        <v>37</v>
      </c>
      <c r="C9" s="10" t="s">
        <v>1082</v>
      </c>
      <c r="D9" s="3"/>
      <c r="E9" s="3">
        <v>1</v>
      </c>
      <c r="F9" s="3">
        <f t="shared" si="0"/>
        <v>49</v>
      </c>
      <c r="G9" s="3">
        <v>5000</v>
      </c>
      <c r="H9" s="5" t="s">
        <v>2356</v>
      </c>
    </row>
    <row r="10" spans="1:8" ht="21" x14ac:dyDescent="0.7">
      <c r="A10" s="2">
        <v>9</v>
      </c>
      <c r="B10" s="8" t="s">
        <v>37</v>
      </c>
      <c r="C10" s="10" t="s">
        <v>1113</v>
      </c>
      <c r="D10" s="3"/>
      <c r="E10" s="3">
        <v>1</v>
      </c>
      <c r="F10" s="3">
        <f t="shared" si="0"/>
        <v>48</v>
      </c>
      <c r="G10" s="3">
        <v>5046</v>
      </c>
      <c r="H10" s="5" t="s">
        <v>2356</v>
      </c>
    </row>
    <row r="11" spans="1:8" ht="21" x14ac:dyDescent="0.7">
      <c r="A11" s="2">
        <v>10</v>
      </c>
      <c r="B11" s="8" t="s">
        <v>37</v>
      </c>
      <c r="C11" s="10" t="s">
        <v>1537</v>
      </c>
      <c r="D11" s="3"/>
      <c r="E11" s="3">
        <v>1</v>
      </c>
      <c r="F11" s="3">
        <f t="shared" ref="F11:F16" si="1">F10-E11</f>
        <v>47</v>
      </c>
      <c r="G11" s="3">
        <v>5558</v>
      </c>
      <c r="H11" s="5" t="s">
        <v>2356</v>
      </c>
    </row>
    <row r="12" spans="1:8" ht="21" x14ac:dyDescent="0.7">
      <c r="A12" s="2">
        <v>11</v>
      </c>
      <c r="B12" s="8" t="s">
        <v>37</v>
      </c>
      <c r="C12" s="10" t="s">
        <v>1554</v>
      </c>
      <c r="D12" s="3"/>
      <c r="E12" s="3">
        <v>1</v>
      </c>
      <c r="F12" s="3">
        <f t="shared" si="1"/>
        <v>46</v>
      </c>
      <c r="G12" s="3">
        <v>5591</v>
      </c>
      <c r="H12" s="5" t="s">
        <v>2356</v>
      </c>
    </row>
    <row r="13" spans="1:8" ht="21" x14ac:dyDescent="0.7">
      <c r="A13" s="2">
        <v>12</v>
      </c>
      <c r="B13" s="8" t="s">
        <v>37</v>
      </c>
      <c r="C13" s="10" t="s">
        <v>1588</v>
      </c>
      <c r="D13" s="3"/>
      <c r="E13" s="3">
        <v>1</v>
      </c>
      <c r="F13" s="3">
        <f t="shared" si="1"/>
        <v>45</v>
      </c>
      <c r="G13" s="3">
        <v>5666</v>
      </c>
      <c r="H13" s="5" t="str">
        <f>H12</f>
        <v>الکترود پارس</v>
      </c>
    </row>
    <row r="14" spans="1:8" ht="21" x14ac:dyDescent="0.7">
      <c r="A14" s="2">
        <v>13</v>
      </c>
      <c r="B14" s="8" t="s">
        <v>37</v>
      </c>
      <c r="C14" s="10" t="s">
        <v>1728</v>
      </c>
      <c r="D14" s="3"/>
      <c r="E14" s="3">
        <v>2</v>
      </c>
      <c r="F14" s="3">
        <f t="shared" si="1"/>
        <v>43</v>
      </c>
      <c r="G14" s="3">
        <v>5876</v>
      </c>
      <c r="H14" s="5" t="str">
        <f>H13</f>
        <v>الکترود پارس</v>
      </c>
    </row>
    <row r="15" spans="1:8" ht="21" x14ac:dyDescent="0.7">
      <c r="A15" s="2">
        <v>14</v>
      </c>
      <c r="B15" s="8" t="s">
        <v>37</v>
      </c>
      <c r="C15" s="10" t="s">
        <v>2012</v>
      </c>
      <c r="D15" s="3"/>
      <c r="E15" s="3">
        <v>2</v>
      </c>
      <c r="F15" s="3">
        <f t="shared" si="1"/>
        <v>41</v>
      </c>
      <c r="G15" s="3">
        <v>6282</v>
      </c>
      <c r="H15" s="5" t="str">
        <f>H14</f>
        <v>الکترود پارس</v>
      </c>
    </row>
    <row r="16" spans="1:8" ht="21" x14ac:dyDescent="0.7">
      <c r="A16" s="2">
        <v>15</v>
      </c>
      <c r="B16" s="8" t="s">
        <v>37</v>
      </c>
      <c r="C16" s="10" t="s">
        <v>2050</v>
      </c>
      <c r="D16" s="3"/>
      <c r="E16" s="3">
        <v>2</v>
      </c>
      <c r="F16" s="3">
        <f t="shared" si="1"/>
        <v>39</v>
      </c>
      <c r="G16" s="3">
        <v>6316</v>
      </c>
      <c r="H16" s="5" t="str">
        <f>H15</f>
        <v>الکترود پارس</v>
      </c>
    </row>
    <row r="17" spans="1:8" ht="21" x14ac:dyDescent="0.7">
      <c r="A17" s="2">
        <v>16</v>
      </c>
      <c r="B17" s="8" t="s">
        <v>37</v>
      </c>
      <c r="C17" s="10" t="s">
        <v>2337</v>
      </c>
      <c r="D17" s="3"/>
      <c r="E17" s="3">
        <v>5</v>
      </c>
      <c r="F17" s="3">
        <f t="shared" ref="F17:F22" si="2">F16-E17</f>
        <v>34</v>
      </c>
      <c r="G17" s="3" t="s">
        <v>2338</v>
      </c>
      <c r="H17" s="5" t="s">
        <v>55</v>
      </c>
    </row>
    <row r="18" spans="1:8" ht="21" x14ac:dyDescent="0.7">
      <c r="A18" s="2">
        <v>17</v>
      </c>
      <c r="B18" s="8" t="s">
        <v>37</v>
      </c>
      <c r="C18" s="10" t="s">
        <v>2355</v>
      </c>
      <c r="D18" s="3"/>
      <c r="E18" s="3">
        <v>1</v>
      </c>
      <c r="F18" s="3">
        <f t="shared" si="2"/>
        <v>33</v>
      </c>
      <c r="G18" s="3">
        <v>6813</v>
      </c>
      <c r="H18" s="5" t="s">
        <v>2356</v>
      </c>
    </row>
    <row r="19" spans="1:8" ht="21" x14ac:dyDescent="0.7">
      <c r="A19" s="2">
        <v>18</v>
      </c>
      <c r="B19" s="8" t="s">
        <v>37</v>
      </c>
      <c r="C19" s="10" t="s">
        <v>2385</v>
      </c>
      <c r="D19" s="3"/>
      <c r="E19" s="3">
        <v>1</v>
      </c>
      <c r="F19" s="3">
        <f t="shared" si="2"/>
        <v>32</v>
      </c>
      <c r="G19" s="3">
        <v>6862</v>
      </c>
      <c r="H19" s="5" t="str">
        <f>H18</f>
        <v>الکترود پارس</v>
      </c>
    </row>
    <row r="20" spans="1:8" ht="21" x14ac:dyDescent="0.7">
      <c r="A20" s="2">
        <v>19</v>
      </c>
      <c r="B20" s="8" t="s">
        <v>37</v>
      </c>
      <c r="C20" s="10" t="s">
        <v>2529</v>
      </c>
      <c r="D20" s="3"/>
      <c r="E20" s="3">
        <v>2</v>
      </c>
      <c r="F20" s="3">
        <f t="shared" si="2"/>
        <v>30</v>
      </c>
      <c r="G20" s="3" t="s">
        <v>2533</v>
      </c>
      <c r="H20" s="5" t="s">
        <v>55</v>
      </c>
    </row>
    <row r="21" spans="1:8" ht="21" x14ac:dyDescent="0.7">
      <c r="A21" s="2">
        <v>20</v>
      </c>
      <c r="B21" s="8" t="s">
        <v>37</v>
      </c>
      <c r="C21" s="10" t="s">
        <v>2540</v>
      </c>
      <c r="D21" s="3"/>
      <c r="E21" s="3">
        <v>1</v>
      </c>
      <c r="F21" s="3">
        <f t="shared" si="2"/>
        <v>29</v>
      </c>
      <c r="G21" s="3">
        <v>7142</v>
      </c>
      <c r="H21" s="5" t="s">
        <v>2356</v>
      </c>
    </row>
    <row r="22" spans="1:8" ht="21" x14ac:dyDescent="0.7">
      <c r="A22" s="2">
        <v>21</v>
      </c>
      <c r="B22" s="8" t="s">
        <v>37</v>
      </c>
      <c r="C22" s="10" t="s">
        <v>2580</v>
      </c>
      <c r="D22" s="3"/>
      <c r="E22" s="3">
        <v>1</v>
      </c>
      <c r="F22" s="3">
        <f t="shared" si="2"/>
        <v>28</v>
      </c>
      <c r="G22" s="3">
        <v>7208</v>
      </c>
      <c r="H22" s="5" t="s">
        <v>2356</v>
      </c>
    </row>
    <row r="23" spans="1:8" ht="21" x14ac:dyDescent="0.7">
      <c r="A23" s="2">
        <v>22</v>
      </c>
      <c r="B23" s="8" t="s">
        <v>37</v>
      </c>
      <c r="C23" s="10" t="s">
        <v>2644</v>
      </c>
      <c r="D23" s="3"/>
      <c r="E23" s="3">
        <v>1</v>
      </c>
      <c r="F23" s="3">
        <f>F22-E23</f>
        <v>27</v>
      </c>
      <c r="G23" s="3">
        <v>7304</v>
      </c>
      <c r="H23" s="5" t="s">
        <v>2645</v>
      </c>
    </row>
    <row r="24" spans="1:8" ht="21" x14ac:dyDescent="0.7">
      <c r="A24" s="2">
        <v>23</v>
      </c>
      <c r="B24" s="8" t="s">
        <v>37</v>
      </c>
      <c r="C24" s="10" t="s">
        <v>2651</v>
      </c>
      <c r="D24" s="3"/>
      <c r="E24" s="3">
        <v>1</v>
      </c>
      <c r="F24" s="3">
        <f>F23-E24</f>
        <v>26</v>
      </c>
      <c r="G24" s="3">
        <v>7518</v>
      </c>
      <c r="H24" s="5" t="s">
        <v>2356</v>
      </c>
    </row>
    <row r="25" spans="1:8" ht="21" x14ac:dyDescent="0.7">
      <c r="A25" s="2">
        <v>24</v>
      </c>
      <c r="B25" s="8" t="s">
        <v>37</v>
      </c>
      <c r="C25" s="10" t="s">
        <v>2680</v>
      </c>
      <c r="D25" s="3"/>
      <c r="E25" s="3">
        <v>1</v>
      </c>
      <c r="F25" s="3">
        <f>F24-E25</f>
        <v>25</v>
      </c>
      <c r="G25" s="3" t="s">
        <v>2681</v>
      </c>
      <c r="H25" s="5" t="s">
        <v>55</v>
      </c>
    </row>
    <row r="26" spans="1:8" ht="21" x14ac:dyDescent="0.7">
      <c r="A26" s="2">
        <v>25</v>
      </c>
      <c r="B26" s="8" t="s">
        <v>37</v>
      </c>
      <c r="C26" s="10"/>
      <c r="D26" s="3"/>
      <c r="E26" s="3"/>
      <c r="F26" s="3"/>
      <c r="G26" s="3"/>
      <c r="H26" s="5"/>
    </row>
    <row r="27" spans="1:8" ht="21" x14ac:dyDescent="0.7">
      <c r="A27" s="2">
        <v>26</v>
      </c>
      <c r="B27" s="8" t="s">
        <v>37</v>
      </c>
      <c r="C27" s="10"/>
      <c r="D27" s="3"/>
      <c r="E27" s="3"/>
      <c r="F27" s="3"/>
      <c r="G27" s="3"/>
      <c r="H27" s="5"/>
    </row>
  </sheetData>
  <mergeCells count="1">
    <mergeCell ref="G4:H4"/>
  </mergeCells>
  <phoneticPr fontId="7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H6"/>
  <sheetViews>
    <sheetView rightToLeft="1" workbookViewId="0">
      <selection activeCell="F20" sqref="F20"/>
    </sheetView>
  </sheetViews>
  <sheetFormatPr defaultRowHeight="14.4" x14ac:dyDescent="0.3"/>
  <cols>
    <col min="2" max="2" width="11.44140625" bestFit="1" customWidth="1"/>
    <col min="7" max="7" width="11.886718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38</v>
      </c>
      <c r="C2" s="10" t="s">
        <v>82</v>
      </c>
      <c r="D2" s="3"/>
      <c r="E2" s="3">
        <v>1</v>
      </c>
      <c r="F2" s="3">
        <v>1</v>
      </c>
      <c r="G2" s="3" t="s">
        <v>83</v>
      </c>
      <c r="H2" s="5" t="s">
        <v>84</v>
      </c>
    </row>
    <row r="3" spans="1:8" ht="20.25" customHeight="1" x14ac:dyDescent="0.3">
      <c r="A3" s="2">
        <v>2</v>
      </c>
      <c r="B3" s="8"/>
      <c r="C3" s="10"/>
      <c r="D3" s="3"/>
      <c r="E3" s="3"/>
      <c r="F3" s="3">
        <v>0</v>
      </c>
      <c r="G3" s="48" t="s">
        <v>376</v>
      </c>
      <c r="H3" s="49"/>
    </row>
    <row r="4" spans="1:8" ht="21" x14ac:dyDescent="0.7">
      <c r="A4" s="2"/>
      <c r="B4" s="8"/>
      <c r="C4" s="10"/>
      <c r="D4" s="3"/>
      <c r="E4" s="3"/>
      <c r="F4" s="3"/>
      <c r="G4" s="3"/>
      <c r="H4" s="5"/>
    </row>
    <row r="5" spans="1:8" ht="21" x14ac:dyDescent="0.7">
      <c r="A5" s="2"/>
      <c r="B5" s="8"/>
      <c r="C5" s="10"/>
      <c r="D5" s="3"/>
      <c r="E5" s="3"/>
      <c r="F5" s="3"/>
      <c r="G5" s="3"/>
      <c r="H5" s="5"/>
    </row>
    <row r="6" spans="1:8" ht="21" x14ac:dyDescent="0.7">
      <c r="A6" s="2"/>
      <c r="B6" s="8"/>
      <c r="C6" s="10"/>
      <c r="D6" s="3"/>
      <c r="E6" s="3"/>
      <c r="F6" s="3"/>
      <c r="G6" s="3"/>
      <c r="H6" s="5"/>
    </row>
  </sheetData>
  <mergeCells count="1">
    <mergeCell ref="G3:H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 tint="0.59999389629810485"/>
  </sheetPr>
  <dimension ref="A1:H60"/>
  <sheetViews>
    <sheetView rightToLeft="1" zoomScale="115" zoomScaleNormal="115" workbookViewId="0">
      <pane ySplit="1" topLeftCell="A47" activePane="bottomLeft" state="frozen"/>
      <selection pane="bottomLeft" activeCell="F57" sqref="F57"/>
    </sheetView>
  </sheetViews>
  <sheetFormatPr defaultRowHeight="14.4" x14ac:dyDescent="0.3"/>
  <cols>
    <col min="2" max="2" width="11.44140625" bestFit="1" customWidth="1"/>
    <col min="3" max="3" width="11.88671875" bestFit="1" customWidth="1"/>
    <col min="7" max="7" width="11.88671875" bestFit="1" customWidth="1"/>
    <col min="8" max="8" width="19.3320312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39</v>
      </c>
      <c r="C2" s="10" t="s">
        <v>85</v>
      </c>
      <c r="D2" s="3"/>
      <c r="E2" s="3">
        <v>1</v>
      </c>
      <c r="F2" s="3">
        <v>124</v>
      </c>
      <c r="G2" s="3">
        <v>3386</v>
      </c>
      <c r="H2" s="5" t="s">
        <v>86</v>
      </c>
    </row>
    <row r="3" spans="1:8" ht="21" x14ac:dyDescent="0.7">
      <c r="A3" s="2">
        <v>2</v>
      </c>
      <c r="B3" s="8" t="s">
        <v>39</v>
      </c>
      <c r="C3" s="10" t="s">
        <v>125</v>
      </c>
      <c r="D3" s="3"/>
      <c r="E3" s="3">
        <v>1</v>
      </c>
      <c r="F3" s="3">
        <f>F2-E3</f>
        <v>123</v>
      </c>
      <c r="G3" s="3">
        <v>3678</v>
      </c>
      <c r="H3" s="5" t="s">
        <v>126</v>
      </c>
    </row>
    <row r="4" spans="1:8" ht="20.25" customHeight="1" x14ac:dyDescent="0.3">
      <c r="A4" s="2">
        <v>3</v>
      </c>
      <c r="B4" s="8" t="s">
        <v>39</v>
      </c>
      <c r="C4" s="10"/>
      <c r="D4" s="3"/>
      <c r="E4" s="3">
        <v>1</v>
      </c>
      <c r="F4" s="3">
        <f>F3-E4</f>
        <v>122</v>
      </c>
      <c r="G4" s="46" t="s">
        <v>194</v>
      </c>
      <c r="H4" s="47"/>
    </row>
    <row r="5" spans="1:8" ht="21" x14ac:dyDescent="0.7">
      <c r="A5" s="2">
        <v>4</v>
      </c>
      <c r="B5" s="8" t="s">
        <v>39</v>
      </c>
      <c r="C5" s="10" t="s">
        <v>210</v>
      </c>
      <c r="D5" s="3"/>
      <c r="E5" s="3">
        <v>1</v>
      </c>
      <c r="F5" s="3">
        <f>F4-E5</f>
        <v>121</v>
      </c>
      <c r="G5" s="3">
        <v>3807</v>
      </c>
      <c r="H5" s="5" t="s">
        <v>209</v>
      </c>
    </row>
    <row r="6" spans="1:8" ht="21" x14ac:dyDescent="0.7">
      <c r="A6" s="2">
        <v>5</v>
      </c>
      <c r="B6" s="8" t="s">
        <v>39</v>
      </c>
      <c r="C6" s="10" t="s">
        <v>213</v>
      </c>
      <c r="D6" s="3"/>
      <c r="E6" s="3">
        <v>1</v>
      </c>
      <c r="F6" s="3">
        <f>F5-E6</f>
        <v>120</v>
      </c>
      <c r="G6" s="3">
        <v>3810</v>
      </c>
      <c r="H6" s="5" t="s">
        <v>214</v>
      </c>
    </row>
    <row r="7" spans="1:8" ht="21" x14ac:dyDescent="0.7">
      <c r="A7" s="2">
        <v>6</v>
      </c>
      <c r="B7" s="8" t="s">
        <v>39</v>
      </c>
      <c r="C7" s="10" t="s">
        <v>221</v>
      </c>
      <c r="D7" s="3"/>
      <c r="E7" s="3">
        <v>1</v>
      </c>
      <c r="F7" s="3">
        <f>F6-E7</f>
        <v>119</v>
      </c>
      <c r="G7" s="3">
        <v>3826</v>
      </c>
      <c r="H7" s="5" t="s">
        <v>214</v>
      </c>
    </row>
    <row r="8" spans="1:8" ht="21" x14ac:dyDescent="0.7">
      <c r="A8" s="2">
        <v>7</v>
      </c>
      <c r="B8" s="8" t="s">
        <v>39</v>
      </c>
      <c r="C8" s="13" t="s">
        <v>266</v>
      </c>
      <c r="D8" s="3">
        <v>60</v>
      </c>
      <c r="E8" s="3"/>
      <c r="F8" s="3">
        <f>F7+D8</f>
        <v>179</v>
      </c>
      <c r="G8" s="3"/>
      <c r="H8" s="5"/>
    </row>
    <row r="9" spans="1:8" ht="21" x14ac:dyDescent="0.7">
      <c r="A9" s="2">
        <v>8</v>
      </c>
      <c r="B9" s="8" t="s">
        <v>39</v>
      </c>
      <c r="C9" s="10" t="s">
        <v>286</v>
      </c>
      <c r="D9" s="3"/>
      <c r="E9" s="3">
        <v>14</v>
      </c>
      <c r="F9" s="3">
        <f t="shared" ref="F9:F14" si="0">F8-E9</f>
        <v>165</v>
      </c>
      <c r="G9" s="3" t="s">
        <v>287</v>
      </c>
      <c r="H9" s="5" t="s">
        <v>55</v>
      </c>
    </row>
    <row r="10" spans="1:8" ht="21" x14ac:dyDescent="0.7">
      <c r="A10" s="2">
        <v>9</v>
      </c>
      <c r="B10" s="8" t="s">
        <v>39</v>
      </c>
      <c r="C10" s="10" t="s">
        <v>291</v>
      </c>
      <c r="D10" s="3"/>
      <c r="E10" s="3">
        <v>13</v>
      </c>
      <c r="F10" s="3">
        <f t="shared" si="0"/>
        <v>152</v>
      </c>
      <c r="G10" s="3">
        <v>3907</v>
      </c>
      <c r="H10" s="5" t="s">
        <v>43</v>
      </c>
    </row>
    <row r="11" spans="1:8" ht="21" x14ac:dyDescent="0.7">
      <c r="A11" s="2">
        <v>10</v>
      </c>
      <c r="B11" s="8" t="s">
        <v>39</v>
      </c>
      <c r="C11" s="10" t="s">
        <v>292</v>
      </c>
      <c r="D11" s="3"/>
      <c r="E11" s="3">
        <v>13</v>
      </c>
      <c r="F11" s="3">
        <f t="shared" si="0"/>
        <v>139</v>
      </c>
      <c r="G11" s="3">
        <v>3908</v>
      </c>
      <c r="H11" s="5" t="s">
        <v>43</v>
      </c>
    </row>
    <row r="12" spans="1:8" ht="21" x14ac:dyDescent="0.7">
      <c r="A12" s="2">
        <v>11</v>
      </c>
      <c r="B12" s="8" t="s">
        <v>39</v>
      </c>
      <c r="C12" s="10" t="s">
        <v>306</v>
      </c>
      <c r="D12" s="3"/>
      <c r="E12" s="3">
        <v>20</v>
      </c>
      <c r="F12" s="3">
        <f t="shared" si="0"/>
        <v>119</v>
      </c>
      <c r="G12" s="3">
        <v>3927</v>
      </c>
      <c r="H12" s="5" t="s">
        <v>43</v>
      </c>
    </row>
    <row r="13" spans="1:8" ht="21" x14ac:dyDescent="0.7">
      <c r="A13" s="2">
        <v>12</v>
      </c>
      <c r="B13" s="8" t="s">
        <v>39</v>
      </c>
      <c r="C13" s="10" t="s">
        <v>487</v>
      </c>
      <c r="D13" s="3"/>
      <c r="E13" s="3">
        <v>1</v>
      </c>
      <c r="F13" s="3">
        <f t="shared" si="0"/>
        <v>118</v>
      </c>
      <c r="G13" s="3" t="s">
        <v>488</v>
      </c>
      <c r="H13" s="5" t="s">
        <v>55</v>
      </c>
    </row>
    <row r="14" spans="1:8" ht="21" x14ac:dyDescent="0.7">
      <c r="A14" s="2">
        <v>13</v>
      </c>
      <c r="B14" s="8" t="s">
        <v>39</v>
      </c>
      <c r="C14" s="10" t="s">
        <v>573</v>
      </c>
      <c r="D14" s="3"/>
      <c r="E14" s="3">
        <v>2</v>
      </c>
      <c r="F14" s="3">
        <f t="shared" si="0"/>
        <v>116</v>
      </c>
      <c r="G14" s="3">
        <v>4297</v>
      </c>
      <c r="H14" s="5" t="s">
        <v>61</v>
      </c>
    </row>
    <row r="15" spans="1:8" ht="21" x14ac:dyDescent="0.7">
      <c r="A15" s="2">
        <v>14</v>
      </c>
      <c r="B15" s="8" t="s">
        <v>39</v>
      </c>
      <c r="C15" s="10" t="s">
        <v>589</v>
      </c>
      <c r="D15" s="3"/>
      <c r="E15" s="3">
        <v>6</v>
      </c>
      <c r="F15" s="3">
        <f t="shared" ref="F15:F20" si="1">F14-E15</f>
        <v>110</v>
      </c>
      <c r="G15" s="3">
        <v>4312</v>
      </c>
      <c r="H15" s="5" t="s">
        <v>61</v>
      </c>
    </row>
    <row r="16" spans="1:8" ht="21" x14ac:dyDescent="0.7">
      <c r="A16" s="2">
        <v>15</v>
      </c>
      <c r="B16" s="8" t="s">
        <v>39</v>
      </c>
      <c r="C16" s="10" t="s">
        <v>607</v>
      </c>
      <c r="D16" s="3"/>
      <c r="E16" s="3">
        <v>5</v>
      </c>
      <c r="F16" s="3">
        <f t="shared" si="1"/>
        <v>105</v>
      </c>
      <c r="G16" s="3">
        <v>4333</v>
      </c>
      <c r="H16" s="5" t="s">
        <v>61</v>
      </c>
    </row>
    <row r="17" spans="1:8" ht="21" x14ac:dyDescent="0.7">
      <c r="A17" s="2">
        <v>16</v>
      </c>
      <c r="B17" s="8" t="s">
        <v>39</v>
      </c>
      <c r="C17" s="10" t="s">
        <v>619</v>
      </c>
      <c r="D17" s="3"/>
      <c r="E17" s="3">
        <v>1</v>
      </c>
      <c r="F17" s="3">
        <f t="shared" si="1"/>
        <v>104</v>
      </c>
      <c r="G17" s="3">
        <v>4337</v>
      </c>
      <c r="H17" s="5" t="s">
        <v>620</v>
      </c>
    </row>
    <row r="18" spans="1:8" ht="21" x14ac:dyDescent="0.7">
      <c r="A18" s="2">
        <v>17</v>
      </c>
      <c r="B18" s="8" t="s">
        <v>39</v>
      </c>
      <c r="C18" s="10" t="s">
        <v>832</v>
      </c>
      <c r="D18" s="3"/>
      <c r="E18" s="3">
        <v>1</v>
      </c>
      <c r="F18" s="3">
        <f t="shared" si="1"/>
        <v>103</v>
      </c>
      <c r="G18" s="3">
        <v>4636</v>
      </c>
      <c r="H18" s="5" t="s">
        <v>834</v>
      </c>
    </row>
    <row r="19" spans="1:8" ht="21" x14ac:dyDescent="0.7">
      <c r="A19" s="2">
        <v>18</v>
      </c>
      <c r="B19" s="8" t="s">
        <v>39</v>
      </c>
      <c r="C19" s="10" t="s">
        <v>845</v>
      </c>
      <c r="D19" s="3"/>
      <c r="E19" s="3">
        <v>1</v>
      </c>
      <c r="F19" s="3">
        <f t="shared" si="1"/>
        <v>102</v>
      </c>
      <c r="G19" s="3">
        <v>4648</v>
      </c>
      <c r="H19" s="5" t="s">
        <v>834</v>
      </c>
    </row>
    <row r="20" spans="1:8" ht="21" x14ac:dyDescent="0.7">
      <c r="A20" s="2">
        <v>19</v>
      </c>
      <c r="B20" s="8" t="s">
        <v>39</v>
      </c>
      <c r="C20" s="10" t="s">
        <v>858</v>
      </c>
      <c r="D20" s="3"/>
      <c r="E20" s="3">
        <v>1</v>
      </c>
      <c r="F20" s="3">
        <f t="shared" si="1"/>
        <v>101</v>
      </c>
      <c r="G20" s="3">
        <v>4679</v>
      </c>
      <c r="H20" s="5" t="s">
        <v>860</v>
      </c>
    </row>
    <row r="21" spans="1:8" ht="21" x14ac:dyDescent="0.7">
      <c r="A21" s="2">
        <v>20</v>
      </c>
      <c r="B21" s="8" t="s">
        <v>39</v>
      </c>
      <c r="C21" s="10" t="s">
        <v>991</v>
      </c>
      <c r="D21" s="3"/>
      <c r="E21" s="3">
        <v>1</v>
      </c>
      <c r="F21" s="3">
        <f t="shared" ref="F21:F26" si="2">F20-E21</f>
        <v>100</v>
      </c>
      <c r="G21" s="3">
        <v>4869</v>
      </c>
      <c r="H21" s="5" t="s">
        <v>992</v>
      </c>
    </row>
    <row r="22" spans="1:8" ht="21" x14ac:dyDescent="0.7">
      <c r="A22" s="2">
        <v>21</v>
      </c>
      <c r="B22" s="8" t="s">
        <v>39</v>
      </c>
      <c r="C22" s="10" t="s">
        <v>1082</v>
      </c>
      <c r="D22" s="3"/>
      <c r="E22" s="3">
        <v>1</v>
      </c>
      <c r="F22" s="3">
        <f t="shared" si="2"/>
        <v>99</v>
      </c>
      <c r="G22" s="3">
        <v>4996</v>
      </c>
      <c r="H22" s="5" t="s">
        <v>834</v>
      </c>
    </row>
    <row r="23" spans="1:8" ht="21" x14ac:dyDescent="0.7">
      <c r="A23" s="2">
        <v>22</v>
      </c>
      <c r="B23" s="8" t="s">
        <v>39</v>
      </c>
      <c r="C23" s="10" t="s">
        <v>1093</v>
      </c>
      <c r="D23" s="3"/>
      <c r="E23" s="3">
        <v>4</v>
      </c>
      <c r="F23" s="3">
        <f t="shared" si="2"/>
        <v>95</v>
      </c>
      <c r="G23" s="3">
        <v>5021</v>
      </c>
      <c r="H23" s="5" t="s">
        <v>1096</v>
      </c>
    </row>
    <row r="24" spans="1:8" ht="21" x14ac:dyDescent="0.7">
      <c r="A24" s="2">
        <v>23</v>
      </c>
      <c r="B24" s="8" t="s">
        <v>39</v>
      </c>
      <c r="C24" s="10" t="s">
        <v>1158</v>
      </c>
      <c r="D24" s="3"/>
      <c r="E24" s="3">
        <v>1</v>
      </c>
      <c r="F24" s="3">
        <f t="shared" si="2"/>
        <v>94</v>
      </c>
      <c r="G24" s="3" t="s">
        <v>1161</v>
      </c>
      <c r="H24" s="5" t="s">
        <v>436</v>
      </c>
    </row>
    <row r="25" spans="1:8" ht="21" x14ac:dyDescent="0.7">
      <c r="A25" s="2">
        <v>24</v>
      </c>
      <c r="B25" s="8" t="s">
        <v>39</v>
      </c>
      <c r="C25" s="10" t="s">
        <v>1218</v>
      </c>
      <c r="D25" s="3"/>
      <c r="E25" s="3">
        <v>1</v>
      </c>
      <c r="F25" s="3">
        <f t="shared" si="2"/>
        <v>93</v>
      </c>
      <c r="G25" s="3">
        <v>5191</v>
      </c>
      <c r="H25" s="5" t="s">
        <v>834</v>
      </c>
    </row>
    <row r="26" spans="1:8" ht="21" x14ac:dyDescent="0.7">
      <c r="A26" s="2">
        <v>25</v>
      </c>
      <c r="B26" s="8" t="s">
        <v>39</v>
      </c>
      <c r="C26" s="10" t="s">
        <v>1467</v>
      </c>
      <c r="D26" s="3"/>
      <c r="E26" s="3">
        <v>1</v>
      </c>
      <c r="F26" s="3">
        <f t="shared" si="2"/>
        <v>92</v>
      </c>
      <c r="G26" s="3" t="s">
        <v>1468</v>
      </c>
      <c r="H26" s="5" t="s">
        <v>55</v>
      </c>
    </row>
    <row r="27" spans="1:8" ht="21" x14ac:dyDescent="0.7">
      <c r="A27" s="2">
        <v>26</v>
      </c>
      <c r="B27" s="8" t="s">
        <v>39</v>
      </c>
      <c r="C27" s="10" t="s">
        <v>1469</v>
      </c>
      <c r="D27" s="3"/>
      <c r="E27" s="3">
        <v>2</v>
      </c>
      <c r="F27" s="3">
        <f t="shared" ref="F27:F31" si="3">F26-E27</f>
        <v>90</v>
      </c>
      <c r="G27" s="3">
        <v>5472</v>
      </c>
      <c r="H27" s="5" t="s">
        <v>992</v>
      </c>
    </row>
    <row r="28" spans="1:8" ht="21" x14ac:dyDescent="0.7">
      <c r="A28" s="2">
        <v>27</v>
      </c>
      <c r="B28" s="8" t="s">
        <v>39</v>
      </c>
      <c r="C28" s="10" t="s">
        <v>1524</v>
      </c>
      <c r="D28" s="3"/>
      <c r="E28" s="3">
        <v>1</v>
      </c>
      <c r="F28" s="3">
        <f t="shared" si="3"/>
        <v>89</v>
      </c>
      <c r="G28" s="3">
        <v>5550</v>
      </c>
      <c r="H28" s="5" t="s">
        <v>834</v>
      </c>
    </row>
    <row r="29" spans="1:8" ht="21" x14ac:dyDescent="0.7">
      <c r="A29" s="2">
        <v>28</v>
      </c>
      <c r="B29" s="8" t="s">
        <v>39</v>
      </c>
      <c r="C29" s="10" t="s">
        <v>1537</v>
      </c>
      <c r="D29" s="3"/>
      <c r="E29" s="3">
        <v>1</v>
      </c>
      <c r="F29" s="3">
        <f t="shared" si="3"/>
        <v>88</v>
      </c>
      <c r="G29" s="3">
        <v>5559</v>
      </c>
      <c r="H29" s="5" t="s">
        <v>992</v>
      </c>
    </row>
    <row r="30" spans="1:8" ht="21" x14ac:dyDescent="0.7">
      <c r="A30" s="2">
        <v>29</v>
      </c>
      <c r="B30" s="8" t="s">
        <v>39</v>
      </c>
      <c r="C30" s="10" t="s">
        <v>1542</v>
      </c>
      <c r="D30" s="3"/>
      <c r="E30" s="3">
        <v>2</v>
      </c>
      <c r="F30" s="3">
        <f t="shared" si="3"/>
        <v>86</v>
      </c>
      <c r="G30" s="3" t="s">
        <v>1543</v>
      </c>
      <c r="H30" s="5" t="s">
        <v>55</v>
      </c>
    </row>
    <row r="31" spans="1:8" ht="21" x14ac:dyDescent="0.7">
      <c r="A31" s="2">
        <v>30</v>
      </c>
      <c r="B31" s="8" t="s">
        <v>39</v>
      </c>
      <c r="C31" s="10" t="s">
        <v>1600</v>
      </c>
      <c r="D31" s="3"/>
      <c r="E31" s="3">
        <v>2</v>
      </c>
      <c r="F31" s="3">
        <f t="shared" si="3"/>
        <v>84</v>
      </c>
      <c r="G31" s="3">
        <v>5678</v>
      </c>
      <c r="H31" s="5" t="s">
        <v>992</v>
      </c>
    </row>
    <row r="32" spans="1:8" ht="21" x14ac:dyDescent="0.7">
      <c r="A32" s="2">
        <v>31</v>
      </c>
      <c r="B32" s="8" t="s">
        <v>39</v>
      </c>
      <c r="C32" s="10" t="s">
        <v>1676</v>
      </c>
      <c r="D32" s="3"/>
      <c r="E32" s="3">
        <v>3</v>
      </c>
      <c r="F32" s="3">
        <f t="shared" ref="F32:F37" si="4">F31-E32</f>
        <v>81</v>
      </c>
      <c r="G32" s="3">
        <v>5780</v>
      </c>
      <c r="H32" s="5" t="s">
        <v>992</v>
      </c>
    </row>
    <row r="33" spans="1:8" ht="21" x14ac:dyDescent="0.7">
      <c r="A33" s="2">
        <v>32</v>
      </c>
      <c r="B33" s="8" t="s">
        <v>39</v>
      </c>
      <c r="C33" s="10" t="s">
        <v>1684</v>
      </c>
      <c r="D33" s="3"/>
      <c r="E33" s="3">
        <v>2</v>
      </c>
      <c r="F33" s="3">
        <f t="shared" si="4"/>
        <v>79</v>
      </c>
      <c r="G33" s="3">
        <v>5809</v>
      </c>
      <c r="H33" s="5" t="s">
        <v>1687</v>
      </c>
    </row>
    <row r="34" spans="1:8" ht="21" x14ac:dyDescent="0.7">
      <c r="A34" s="2">
        <v>33</v>
      </c>
      <c r="B34" s="8" t="s">
        <v>39</v>
      </c>
      <c r="C34" s="10" t="s">
        <v>1699</v>
      </c>
      <c r="D34" s="3"/>
      <c r="E34" s="3">
        <v>1</v>
      </c>
      <c r="F34" s="3">
        <f t="shared" si="4"/>
        <v>78</v>
      </c>
      <c r="G34" s="3">
        <v>5829</v>
      </c>
      <c r="H34" s="5" t="s">
        <v>992</v>
      </c>
    </row>
    <row r="35" spans="1:8" ht="21" x14ac:dyDescent="0.7">
      <c r="A35" s="2">
        <v>34</v>
      </c>
      <c r="B35" s="8" t="s">
        <v>39</v>
      </c>
      <c r="C35" s="10" t="s">
        <v>1738</v>
      </c>
      <c r="D35" s="3"/>
      <c r="E35" s="3">
        <v>1</v>
      </c>
      <c r="F35" s="3">
        <f t="shared" si="4"/>
        <v>77</v>
      </c>
      <c r="G35" s="3">
        <v>5908</v>
      </c>
      <c r="H35" s="5" t="s">
        <v>1742</v>
      </c>
    </row>
    <row r="36" spans="1:8" ht="21" x14ac:dyDescent="0.7">
      <c r="A36" s="2">
        <v>35</v>
      </c>
      <c r="B36" s="8" t="s">
        <v>39</v>
      </c>
      <c r="C36" s="10" t="s">
        <v>1755</v>
      </c>
      <c r="D36" s="3"/>
      <c r="E36" s="3">
        <v>1</v>
      </c>
      <c r="F36" s="3">
        <f t="shared" si="4"/>
        <v>76</v>
      </c>
      <c r="G36" s="3">
        <v>5945</v>
      </c>
      <c r="H36" s="5" t="s">
        <v>992</v>
      </c>
    </row>
    <row r="37" spans="1:8" ht="21" x14ac:dyDescent="0.7">
      <c r="A37" s="2">
        <v>36</v>
      </c>
      <c r="B37" s="8" t="s">
        <v>39</v>
      </c>
      <c r="C37" s="10" t="s">
        <v>1775</v>
      </c>
      <c r="D37" s="3"/>
      <c r="E37" s="3">
        <v>1</v>
      </c>
      <c r="F37" s="3">
        <f t="shared" si="4"/>
        <v>75</v>
      </c>
      <c r="G37" s="3">
        <v>5979</v>
      </c>
      <c r="H37" s="5" t="s">
        <v>834</v>
      </c>
    </row>
    <row r="38" spans="1:8" ht="21" x14ac:dyDescent="0.7">
      <c r="A38" s="2">
        <v>37</v>
      </c>
      <c r="B38" s="8" t="s">
        <v>39</v>
      </c>
      <c r="C38" s="10" t="s">
        <v>1782</v>
      </c>
      <c r="D38" s="3"/>
      <c r="E38" s="3">
        <v>1</v>
      </c>
      <c r="F38" s="3">
        <f t="shared" ref="F38:F43" si="5">F37-E38</f>
        <v>74</v>
      </c>
      <c r="G38" s="3">
        <v>5983</v>
      </c>
      <c r="H38" s="5" t="s">
        <v>992</v>
      </c>
    </row>
    <row r="39" spans="1:8" ht="21" x14ac:dyDescent="0.7">
      <c r="A39" s="2">
        <v>38</v>
      </c>
      <c r="B39" s="8" t="s">
        <v>39</v>
      </c>
      <c r="C39" s="10" t="s">
        <v>1795</v>
      </c>
      <c r="D39" s="3"/>
      <c r="E39" s="3">
        <v>1</v>
      </c>
      <c r="F39" s="3">
        <f t="shared" si="5"/>
        <v>73</v>
      </c>
      <c r="G39" s="3" t="s">
        <v>1796</v>
      </c>
      <c r="H39" s="5" t="s">
        <v>55</v>
      </c>
    </row>
    <row r="40" spans="1:8" ht="21" x14ac:dyDescent="0.7">
      <c r="A40" s="2">
        <v>39</v>
      </c>
      <c r="B40" s="8" t="s">
        <v>39</v>
      </c>
      <c r="C40" s="10" t="s">
        <v>1804</v>
      </c>
      <c r="D40" s="3"/>
      <c r="E40" s="3">
        <v>1</v>
      </c>
      <c r="F40" s="3">
        <f t="shared" si="5"/>
        <v>72</v>
      </c>
      <c r="G40" s="3">
        <v>6033</v>
      </c>
      <c r="H40" s="5" t="s">
        <v>992</v>
      </c>
    </row>
    <row r="41" spans="1:8" ht="21" x14ac:dyDescent="0.7">
      <c r="A41" s="2">
        <v>40</v>
      </c>
      <c r="B41" s="8" t="s">
        <v>39</v>
      </c>
      <c r="C41" s="10" t="s">
        <v>1846</v>
      </c>
      <c r="D41" s="3"/>
      <c r="E41" s="3">
        <v>1</v>
      </c>
      <c r="F41" s="3">
        <f t="shared" si="5"/>
        <v>71</v>
      </c>
      <c r="G41" s="3" t="s">
        <v>1847</v>
      </c>
      <c r="H41" s="5" t="s">
        <v>55</v>
      </c>
    </row>
    <row r="42" spans="1:8" ht="21" x14ac:dyDescent="0.7">
      <c r="A42" s="2">
        <v>41</v>
      </c>
      <c r="B42" s="8" t="s">
        <v>39</v>
      </c>
      <c r="C42" s="10" t="s">
        <v>1861</v>
      </c>
      <c r="D42" s="3"/>
      <c r="E42" s="3">
        <v>1</v>
      </c>
      <c r="F42" s="3">
        <f t="shared" si="5"/>
        <v>70</v>
      </c>
      <c r="G42" s="3">
        <v>6084</v>
      </c>
      <c r="H42" s="5" t="s">
        <v>834</v>
      </c>
    </row>
    <row r="43" spans="1:8" ht="21" x14ac:dyDescent="0.7">
      <c r="A43" s="2">
        <v>42</v>
      </c>
      <c r="B43" s="8" t="s">
        <v>39</v>
      </c>
      <c r="C43" s="10" t="s">
        <v>1865</v>
      </c>
      <c r="D43" s="3"/>
      <c r="E43" s="3">
        <v>4</v>
      </c>
      <c r="F43" s="3">
        <f t="shared" si="5"/>
        <v>66</v>
      </c>
      <c r="G43" s="3">
        <v>6090</v>
      </c>
      <c r="H43" s="5" t="s">
        <v>992</v>
      </c>
    </row>
    <row r="44" spans="1:8" ht="21" x14ac:dyDescent="0.7">
      <c r="A44" s="2">
        <v>43</v>
      </c>
      <c r="B44" s="8" t="s">
        <v>39</v>
      </c>
      <c r="C44" s="10" t="s">
        <v>1897</v>
      </c>
      <c r="D44" s="3"/>
      <c r="E44" s="3">
        <v>1</v>
      </c>
      <c r="F44" s="3">
        <f>F43-E44</f>
        <v>65</v>
      </c>
      <c r="G44" s="3" t="s">
        <v>1898</v>
      </c>
      <c r="H44" s="5" t="s">
        <v>55</v>
      </c>
    </row>
    <row r="45" spans="1:8" ht="21" x14ac:dyDescent="0.7">
      <c r="A45" s="2">
        <v>44</v>
      </c>
      <c r="B45" s="8" t="s">
        <v>39</v>
      </c>
      <c r="C45" s="10" t="s">
        <v>1905</v>
      </c>
      <c r="D45" s="3"/>
      <c r="E45" s="3">
        <v>2</v>
      </c>
      <c r="F45" s="3">
        <f>F44-E45</f>
        <v>63</v>
      </c>
      <c r="G45" s="3">
        <v>6180</v>
      </c>
      <c r="H45" s="5" t="s">
        <v>834</v>
      </c>
    </row>
    <row r="46" spans="1:8" ht="20.25" customHeight="1" x14ac:dyDescent="0.3">
      <c r="A46" s="2">
        <v>45</v>
      </c>
      <c r="B46" s="8" t="s">
        <v>39</v>
      </c>
      <c r="C46" s="10"/>
      <c r="D46" s="3"/>
      <c r="E46" s="3"/>
      <c r="F46" s="3">
        <v>61</v>
      </c>
      <c r="G46" s="48" t="s">
        <v>1950</v>
      </c>
      <c r="H46" s="49"/>
    </row>
    <row r="47" spans="1:8" ht="21" x14ac:dyDescent="0.7">
      <c r="A47" s="2">
        <v>46</v>
      </c>
      <c r="B47" s="8" t="s">
        <v>39</v>
      </c>
      <c r="C47" s="10" t="s">
        <v>1969</v>
      </c>
      <c r="D47" s="3"/>
      <c r="E47" s="3">
        <v>2</v>
      </c>
      <c r="F47" s="3">
        <f t="shared" ref="F47:F52" si="6">F46-E47</f>
        <v>59</v>
      </c>
      <c r="G47" s="3">
        <v>6246</v>
      </c>
      <c r="H47" s="5" t="s">
        <v>992</v>
      </c>
    </row>
    <row r="48" spans="1:8" ht="21" x14ac:dyDescent="0.7">
      <c r="A48" s="2">
        <v>47</v>
      </c>
      <c r="B48" s="8" t="s">
        <v>39</v>
      </c>
      <c r="C48" s="10" t="s">
        <v>2036</v>
      </c>
      <c r="D48" s="3"/>
      <c r="E48" s="3">
        <v>2</v>
      </c>
      <c r="F48" s="3">
        <f t="shared" si="6"/>
        <v>57</v>
      </c>
      <c r="G48" s="3">
        <v>6304</v>
      </c>
      <c r="H48" s="5" t="s">
        <v>834</v>
      </c>
    </row>
    <row r="49" spans="1:8" ht="21" x14ac:dyDescent="0.7">
      <c r="A49" s="2">
        <v>48</v>
      </c>
      <c r="B49" s="8" t="s">
        <v>39</v>
      </c>
      <c r="C49" s="10" t="s">
        <v>2073</v>
      </c>
      <c r="D49" s="3"/>
      <c r="E49" s="3">
        <v>40</v>
      </c>
      <c r="F49" s="3">
        <f t="shared" si="6"/>
        <v>17</v>
      </c>
      <c r="G49" s="3">
        <v>6344</v>
      </c>
      <c r="H49" s="5" t="s">
        <v>1673</v>
      </c>
    </row>
    <row r="50" spans="1:8" ht="21" x14ac:dyDescent="0.7">
      <c r="A50" s="2">
        <v>49</v>
      </c>
      <c r="B50" s="8" t="s">
        <v>39</v>
      </c>
      <c r="C50" s="10" t="s">
        <v>2115</v>
      </c>
      <c r="D50" s="3"/>
      <c r="E50" s="3">
        <v>1</v>
      </c>
      <c r="F50" s="3">
        <f t="shared" si="6"/>
        <v>16</v>
      </c>
      <c r="G50" s="3" t="s">
        <v>2116</v>
      </c>
      <c r="H50" s="5" t="s">
        <v>55</v>
      </c>
    </row>
    <row r="51" spans="1:8" ht="21" x14ac:dyDescent="0.7">
      <c r="A51" s="2">
        <v>50</v>
      </c>
      <c r="B51" s="8" t="s">
        <v>39</v>
      </c>
      <c r="C51" s="10" t="s">
        <v>2122</v>
      </c>
      <c r="D51" s="3"/>
      <c r="E51" s="3">
        <v>1</v>
      </c>
      <c r="F51" s="3">
        <f t="shared" si="6"/>
        <v>15</v>
      </c>
      <c r="G51" s="3">
        <v>6417</v>
      </c>
      <c r="H51" s="5" t="s">
        <v>834</v>
      </c>
    </row>
    <row r="52" spans="1:8" ht="21" x14ac:dyDescent="0.7">
      <c r="A52" s="2">
        <v>51</v>
      </c>
      <c r="B52" s="8" t="s">
        <v>39</v>
      </c>
      <c r="C52" s="10" t="s">
        <v>2186</v>
      </c>
      <c r="D52" s="3"/>
      <c r="E52" s="3">
        <v>2</v>
      </c>
      <c r="F52" s="3">
        <f t="shared" si="6"/>
        <v>13</v>
      </c>
      <c r="G52" s="3">
        <v>6500</v>
      </c>
      <c r="H52" s="5" t="s">
        <v>834</v>
      </c>
    </row>
    <row r="53" spans="1:8" ht="21" x14ac:dyDescent="0.7">
      <c r="A53" s="2">
        <v>52</v>
      </c>
      <c r="B53" s="8" t="s">
        <v>39</v>
      </c>
      <c r="C53" s="10" t="s">
        <v>2365</v>
      </c>
      <c r="D53" s="3"/>
      <c r="E53" s="3">
        <v>3</v>
      </c>
      <c r="F53" s="3">
        <f>F52-E53</f>
        <v>10</v>
      </c>
      <c r="G53" s="3">
        <v>6837</v>
      </c>
      <c r="H53" s="5" t="s">
        <v>834</v>
      </c>
    </row>
    <row r="54" spans="1:8" ht="21" x14ac:dyDescent="0.7">
      <c r="A54" s="2">
        <v>53</v>
      </c>
      <c r="B54" s="8" t="s">
        <v>39</v>
      </c>
      <c r="C54" s="10" t="s">
        <v>2473</v>
      </c>
      <c r="D54" s="3"/>
      <c r="E54" s="3">
        <v>1</v>
      </c>
      <c r="F54" s="3">
        <f>F53-E54</f>
        <v>9</v>
      </c>
      <c r="G54" s="3">
        <v>7004</v>
      </c>
      <c r="H54" s="5" t="s">
        <v>834</v>
      </c>
    </row>
    <row r="55" spans="1:8" ht="21" x14ac:dyDescent="0.7">
      <c r="A55" s="2">
        <v>54</v>
      </c>
      <c r="B55" s="8" t="s">
        <v>39</v>
      </c>
      <c r="C55" s="10" t="s">
        <v>2502</v>
      </c>
      <c r="D55" s="3"/>
      <c r="E55" s="3">
        <v>1</v>
      </c>
      <c r="F55" s="3">
        <f>F54-E55</f>
        <v>8</v>
      </c>
      <c r="G55" s="3">
        <v>7049</v>
      </c>
      <c r="H55" s="5" t="s">
        <v>2503</v>
      </c>
    </row>
    <row r="56" spans="1:8" ht="21" x14ac:dyDescent="0.7">
      <c r="A56" s="2">
        <v>55</v>
      </c>
      <c r="B56" s="8" t="s">
        <v>39</v>
      </c>
      <c r="C56" s="10" t="s">
        <v>2621</v>
      </c>
      <c r="D56" s="3"/>
      <c r="E56" s="3">
        <v>3</v>
      </c>
      <c r="F56" s="3">
        <f>F55-E56</f>
        <v>5</v>
      </c>
      <c r="G56" s="3">
        <v>7269</v>
      </c>
      <c r="H56" s="5" t="s">
        <v>834</v>
      </c>
    </row>
    <row r="57" spans="1:8" ht="21" x14ac:dyDescent="0.7">
      <c r="A57" s="2">
        <v>56</v>
      </c>
      <c r="B57" s="8" t="s">
        <v>39</v>
      </c>
      <c r="C57" s="10" t="s">
        <v>2659</v>
      </c>
      <c r="D57" s="3"/>
      <c r="E57" s="3">
        <v>1</v>
      </c>
      <c r="F57" s="3">
        <f>F56-E57</f>
        <v>4</v>
      </c>
      <c r="G57" s="3">
        <v>7329</v>
      </c>
      <c r="H57" s="5" t="s">
        <v>834</v>
      </c>
    </row>
    <row r="58" spans="1:8" ht="21" x14ac:dyDescent="0.7">
      <c r="A58" s="2">
        <v>57</v>
      </c>
      <c r="B58" s="8" t="s">
        <v>39</v>
      </c>
      <c r="C58" s="10"/>
      <c r="D58" s="3"/>
      <c r="E58" s="3"/>
      <c r="F58" s="3"/>
      <c r="G58" s="3"/>
      <c r="H58" s="5"/>
    </row>
    <row r="59" spans="1:8" ht="21" x14ac:dyDescent="0.7">
      <c r="A59" s="2">
        <v>58</v>
      </c>
      <c r="B59" s="8" t="s">
        <v>39</v>
      </c>
      <c r="C59" s="10"/>
      <c r="D59" s="3"/>
      <c r="E59" s="3"/>
      <c r="F59" s="3"/>
      <c r="G59" s="3"/>
      <c r="H59" s="5"/>
    </row>
    <row r="60" spans="1:8" ht="21" x14ac:dyDescent="0.7">
      <c r="A60" s="2">
        <v>59</v>
      </c>
      <c r="B60" s="8" t="s">
        <v>39</v>
      </c>
      <c r="C60" s="10"/>
      <c r="D60" s="3"/>
      <c r="E60" s="3"/>
      <c r="F60" s="3"/>
      <c r="G60" s="3"/>
      <c r="H60" s="5"/>
    </row>
  </sheetData>
  <mergeCells count="2">
    <mergeCell ref="G4:H4"/>
    <mergeCell ref="G46:H46"/>
  </mergeCells>
  <phoneticPr fontId="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 tint="0.59999389629810485"/>
  </sheetPr>
  <dimension ref="A1:H22"/>
  <sheetViews>
    <sheetView rightToLeft="1" zoomScale="110" zoomScaleNormal="110" workbookViewId="0">
      <pane ySplit="1" topLeftCell="A14" activePane="bottomLeft" state="frozen"/>
      <selection pane="bottomLeft" activeCell="G20" sqref="G20"/>
    </sheetView>
  </sheetViews>
  <sheetFormatPr defaultRowHeight="14.4" x14ac:dyDescent="0.3"/>
  <cols>
    <col min="2" max="2" width="10.44140625" bestFit="1" customWidth="1"/>
    <col min="3" max="3" width="10.88671875" bestFit="1" customWidth="1"/>
    <col min="7" max="7" width="11.88671875" bestFit="1" customWidth="1"/>
    <col min="8" max="8" width="22.664062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40</v>
      </c>
      <c r="C2" s="10" t="s">
        <v>87</v>
      </c>
      <c r="D2" s="3"/>
      <c r="E2" s="3">
        <v>1</v>
      </c>
      <c r="F2" s="3">
        <v>39</v>
      </c>
      <c r="G2" s="3">
        <v>3611</v>
      </c>
      <c r="H2" s="5" t="s">
        <v>88</v>
      </c>
    </row>
    <row r="3" spans="1:8" ht="21" x14ac:dyDescent="0.7">
      <c r="A3" s="2">
        <v>2</v>
      </c>
      <c r="B3" s="8" t="s">
        <v>40</v>
      </c>
      <c r="C3" s="10" t="s">
        <v>98</v>
      </c>
      <c r="D3" s="3"/>
      <c r="E3" s="3">
        <v>5</v>
      </c>
      <c r="F3" s="3">
        <f>F2-E3</f>
        <v>34</v>
      </c>
      <c r="G3" s="3">
        <v>3654</v>
      </c>
      <c r="H3" s="5" t="s">
        <v>43</v>
      </c>
    </row>
    <row r="4" spans="1:8" ht="21" x14ac:dyDescent="0.7">
      <c r="A4" s="2">
        <v>3</v>
      </c>
      <c r="B4" s="8" t="s">
        <v>40</v>
      </c>
      <c r="C4" s="10" t="s">
        <v>156</v>
      </c>
      <c r="D4" s="3"/>
      <c r="E4" s="3">
        <v>1</v>
      </c>
      <c r="F4" s="3">
        <f>F3-E4</f>
        <v>33</v>
      </c>
      <c r="G4" s="3">
        <v>3753</v>
      </c>
      <c r="H4" s="5" t="s">
        <v>43</v>
      </c>
    </row>
    <row r="5" spans="1:8" ht="21" x14ac:dyDescent="0.7">
      <c r="A5" s="2">
        <v>4</v>
      </c>
      <c r="B5" s="8" t="s">
        <v>40</v>
      </c>
      <c r="C5" s="10" t="s">
        <v>198</v>
      </c>
      <c r="D5" s="3"/>
      <c r="E5" s="3">
        <v>4</v>
      </c>
      <c r="F5" s="3">
        <f>F4-E5</f>
        <v>29</v>
      </c>
      <c r="G5" s="3">
        <v>3799</v>
      </c>
      <c r="H5" s="5" t="s">
        <v>43</v>
      </c>
    </row>
    <row r="6" spans="1:8" ht="21" x14ac:dyDescent="0.7">
      <c r="A6" s="2">
        <v>5</v>
      </c>
      <c r="B6" s="8" t="s">
        <v>40</v>
      </c>
      <c r="C6" s="10" t="s">
        <v>200</v>
      </c>
      <c r="D6" s="3"/>
      <c r="E6" s="3">
        <v>15</v>
      </c>
      <c r="F6" s="3">
        <f>F5-E6</f>
        <v>14</v>
      </c>
      <c r="G6" s="3">
        <v>3801</v>
      </c>
      <c r="H6" s="5" t="s">
        <v>43</v>
      </c>
    </row>
    <row r="7" spans="1:8" ht="21" x14ac:dyDescent="0.7">
      <c r="A7" s="2">
        <v>6</v>
      </c>
      <c r="B7" s="8" t="s">
        <v>40</v>
      </c>
      <c r="C7" s="10" t="s">
        <v>210</v>
      </c>
      <c r="D7" s="3"/>
      <c r="E7" s="3">
        <v>14</v>
      </c>
      <c r="F7" s="3">
        <f>F6-E7</f>
        <v>0</v>
      </c>
      <c r="G7" s="3">
        <v>3806</v>
      </c>
      <c r="H7" s="5" t="s">
        <v>43</v>
      </c>
    </row>
    <row r="8" spans="1:8" ht="20.25" customHeight="1" x14ac:dyDescent="0.3">
      <c r="A8" s="2">
        <v>7</v>
      </c>
      <c r="B8" s="8" t="s">
        <v>40</v>
      </c>
      <c r="C8" s="10"/>
      <c r="D8" s="3">
        <v>120</v>
      </c>
      <c r="E8" s="3"/>
      <c r="F8" s="3">
        <v>120</v>
      </c>
      <c r="G8" s="46" t="s">
        <v>341</v>
      </c>
      <c r="H8" s="47"/>
    </row>
    <row r="9" spans="1:8" ht="21" x14ac:dyDescent="0.7">
      <c r="A9" s="2">
        <v>8</v>
      </c>
      <c r="B9" s="8" t="s">
        <v>40</v>
      </c>
      <c r="C9" s="10" t="s">
        <v>1108</v>
      </c>
      <c r="D9" s="3"/>
      <c r="E9" s="3">
        <v>2</v>
      </c>
      <c r="F9" s="3">
        <f t="shared" ref="F9:F14" si="0">F8-E9</f>
        <v>118</v>
      </c>
      <c r="G9" s="3" t="s">
        <v>1109</v>
      </c>
      <c r="H9" s="5" t="s">
        <v>55</v>
      </c>
    </row>
    <row r="10" spans="1:8" ht="21" x14ac:dyDescent="0.7">
      <c r="A10" s="2">
        <v>9</v>
      </c>
      <c r="B10" s="8" t="s">
        <v>40</v>
      </c>
      <c r="C10" s="10" t="s">
        <v>1227</v>
      </c>
      <c r="D10" s="3"/>
      <c r="E10" s="3">
        <v>15</v>
      </c>
      <c r="F10" s="3">
        <f t="shared" si="0"/>
        <v>103</v>
      </c>
      <c r="G10" s="3">
        <v>5205</v>
      </c>
      <c r="H10" s="5" t="s">
        <v>43</v>
      </c>
    </row>
    <row r="11" spans="1:8" ht="21" x14ac:dyDescent="0.7">
      <c r="A11" s="2">
        <v>10</v>
      </c>
      <c r="B11" s="8" t="s">
        <v>40</v>
      </c>
      <c r="C11" s="10" t="s">
        <v>1269</v>
      </c>
      <c r="D11" s="3"/>
      <c r="E11" s="3">
        <v>3</v>
      </c>
      <c r="F11" s="3">
        <f t="shared" si="0"/>
        <v>100</v>
      </c>
      <c r="G11" s="3">
        <v>5259</v>
      </c>
      <c r="H11" s="5" t="s">
        <v>1270</v>
      </c>
    </row>
    <row r="12" spans="1:8" ht="21" x14ac:dyDescent="0.7">
      <c r="A12" s="2">
        <v>11</v>
      </c>
      <c r="B12" s="8" t="s">
        <v>40</v>
      </c>
      <c r="C12" s="10" t="s">
        <v>1351</v>
      </c>
      <c r="D12" s="3"/>
      <c r="E12" s="3">
        <v>6</v>
      </c>
      <c r="F12" s="3">
        <f t="shared" si="0"/>
        <v>94</v>
      </c>
      <c r="G12" s="3">
        <v>5353</v>
      </c>
      <c r="H12" s="5" t="s">
        <v>43</v>
      </c>
    </row>
    <row r="13" spans="1:8" ht="21" x14ac:dyDescent="0.7">
      <c r="A13" s="2">
        <v>12</v>
      </c>
      <c r="B13" s="8" t="s">
        <v>40</v>
      </c>
      <c r="C13" s="10" t="s">
        <v>1558</v>
      </c>
      <c r="D13" s="3"/>
      <c r="E13" s="3">
        <v>6</v>
      </c>
      <c r="F13" s="3">
        <f t="shared" si="0"/>
        <v>88</v>
      </c>
      <c r="G13" s="3">
        <v>5607</v>
      </c>
      <c r="H13" s="5" t="s">
        <v>1270</v>
      </c>
    </row>
    <row r="14" spans="1:8" ht="21" x14ac:dyDescent="0.7">
      <c r="A14" s="2">
        <v>13</v>
      </c>
      <c r="B14" s="8" t="s">
        <v>40</v>
      </c>
      <c r="C14" s="10" t="s">
        <v>1592</v>
      </c>
      <c r="D14" s="3"/>
      <c r="E14" s="3">
        <v>1</v>
      </c>
      <c r="F14" s="3">
        <f t="shared" si="0"/>
        <v>87</v>
      </c>
      <c r="G14" s="3">
        <v>5670</v>
      </c>
      <c r="H14" s="5" t="s">
        <v>933</v>
      </c>
    </row>
    <row r="15" spans="1:8" ht="21" x14ac:dyDescent="0.7">
      <c r="A15" s="2">
        <v>14</v>
      </c>
      <c r="B15" s="8" t="s">
        <v>40</v>
      </c>
      <c r="C15" s="10" t="s">
        <v>1824</v>
      </c>
      <c r="D15" s="3"/>
      <c r="E15" s="3">
        <v>6</v>
      </c>
      <c r="F15" s="3">
        <f>F14-E15</f>
        <v>81</v>
      </c>
      <c r="G15" s="3">
        <v>6049</v>
      </c>
      <c r="H15" s="5" t="s">
        <v>43</v>
      </c>
    </row>
    <row r="16" spans="1:8" ht="20.25" customHeight="1" x14ac:dyDescent="0.3">
      <c r="A16" s="2"/>
      <c r="B16" s="8"/>
      <c r="C16" s="10"/>
      <c r="D16" s="3"/>
      <c r="E16" s="3"/>
      <c r="F16" s="3">
        <v>80</v>
      </c>
      <c r="G16" s="48" t="s">
        <v>1952</v>
      </c>
      <c r="H16" s="49"/>
    </row>
    <row r="17" spans="1:8" ht="21" x14ac:dyDescent="0.7">
      <c r="A17" s="2">
        <v>15</v>
      </c>
      <c r="B17" s="8" t="s">
        <v>40</v>
      </c>
      <c r="C17" s="10" t="s">
        <v>1963</v>
      </c>
      <c r="D17" s="3"/>
      <c r="E17" s="3">
        <v>10</v>
      </c>
      <c r="F17" s="3">
        <f>F16-E17</f>
        <v>70</v>
      </c>
      <c r="G17" s="3">
        <v>6250</v>
      </c>
      <c r="H17" s="5" t="s">
        <v>1270</v>
      </c>
    </row>
    <row r="18" spans="1:8" ht="21" x14ac:dyDescent="0.7">
      <c r="A18" s="2">
        <v>16</v>
      </c>
      <c r="B18" s="8" t="s">
        <v>40</v>
      </c>
      <c r="C18" s="10" t="s">
        <v>2076</v>
      </c>
      <c r="D18" s="3"/>
      <c r="E18" s="3">
        <v>40</v>
      </c>
      <c r="F18" s="3">
        <f>F17-E18</f>
        <v>30</v>
      </c>
      <c r="G18" s="3">
        <v>6349</v>
      </c>
      <c r="H18" s="5" t="s">
        <v>1673</v>
      </c>
    </row>
    <row r="19" spans="1:8" ht="21" x14ac:dyDescent="0.7">
      <c r="A19" s="2">
        <v>17</v>
      </c>
      <c r="B19" s="8" t="s">
        <v>40</v>
      </c>
      <c r="C19" s="10" t="s">
        <v>2580</v>
      </c>
      <c r="D19" s="3"/>
      <c r="E19" s="3">
        <v>6</v>
      </c>
      <c r="F19" s="3">
        <f>F18-E19</f>
        <v>24</v>
      </c>
      <c r="G19" s="3">
        <v>7207</v>
      </c>
      <c r="H19" s="5" t="s">
        <v>43</v>
      </c>
    </row>
    <row r="20" spans="1:8" ht="21" x14ac:dyDescent="0.7">
      <c r="A20" s="2">
        <v>18</v>
      </c>
      <c r="B20" s="8" t="s">
        <v>40</v>
      </c>
      <c r="C20" s="10"/>
      <c r="D20" s="3"/>
      <c r="E20" s="3"/>
      <c r="F20" s="3"/>
      <c r="G20" s="3"/>
      <c r="H20" s="5"/>
    </row>
    <row r="21" spans="1:8" ht="21" x14ac:dyDescent="0.7">
      <c r="A21" s="2">
        <v>19</v>
      </c>
      <c r="B21" s="8" t="s">
        <v>40</v>
      </c>
      <c r="C21" s="10"/>
      <c r="D21" s="3"/>
      <c r="E21" s="3"/>
      <c r="F21" s="3"/>
      <c r="G21" s="3"/>
      <c r="H21" s="5"/>
    </row>
    <row r="22" spans="1:8" ht="21" x14ac:dyDescent="0.7">
      <c r="A22" s="2">
        <v>20</v>
      </c>
      <c r="B22" s="8" t="s">
        <v>40</v>
      </c>
      <c r="C22" s="10"/>
      <c r="D22" s="3"/>
      <c r="E22" s="3"/>
      <c r="F22" s="3"/>
      <c r="G22" s="3"/>
      <c r="H22" s="5"/>
    </row>
  </sheetData>
  <mergeCells count="2">
    <mergeCell ref="G8:H8"/>
    <mergeCell ref="G16:H16"/>
  </mergeCells>
  <phoneticPr fontId="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 tint="0.39997558519241921"/>
  </sheetPr>
  <dimension ref="A1:H5"/>
  <sheetViews>
    <sheetView rightToLeft="1" workbookViewId="0"/>
  </sheetViews>
  <sheetFormatPr defaultRowHeight="14.4" x14ac:dyDescent="0.3"/>
  <cols>
    <col min="2" max="2" width="13.5546875" customWidth="1"/>
    <col min="3" max="3" width="10.44140625" customWidth="1"/>
    <col min="7" max="7" width="11.6640625" customWidth="1"/>
    <col min="8" max="8" width="16.109375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0.25" customHeight="1" x14ac:dyDescent="0.3">
      <c r="A2" s="2">
        <v>1</v>
      </c>
      <c r="B2" s="8" t="s">
        <v>344</v>
      </c>
      <c r="C2" s="10"/>
      <c r="D2" s="3">
        <v>2</v>
      </c>
      <c r="E2" s="3"/>
      <c r="F2" s="3">
        <v>2</v>
      </c>
      <c r="G2" s="52" t="s">
        <v>343</v>
      </c>
      <c r="H2" s="52"/>
    </row>
    <row r="3" spans="1:8" ht="23.25" customHeight="1" x14ac:dyDescent="0.75">
      <c r="A3" s="2"/>
      <c r="B3" s="8" t="s">
        <v>344</v>
      </c>
      <c r="C3" s="2" t="s">
        <v>1716</v>
      </c>
      <c r="D3" s="2"/>
      <c r="E3" s="29">
        <v>1</v>
      </c>
      <c r="F3" s="29">
        <f>F2-E3</f>
        <v>1</v>
      </c>
      <c r="G3" s="29">
        <v>5863</v>
      </c>
      <c r="H3" s="1" t="s">
        <v>1718</v>
      </c>
    </row>
    <row r="4" spans="1:8" ht="24.75" customHeight="1" x14ac:dyDescent="0.75">
      <c r="A4" s="2"/>
      <c r="B4" s="8" t="s">
        <v>344</v>
      </c>
      <c r="C4" s="2" t="s">
        <v>1963</v>
      </c>
      <c r="D4" s="2"/>
      <c r="E4" s="3">
        <v>1</v>
      </c>
      <c r="F4" s="3">
        <f>F3-E4</f>
        <v>0</v>
      </c>
      <c r="G4" s="3">
        <v>6249</v>
      </c>
      <c r="H4" s="1" t="s">
        <v>1718</v>
      </c>
    </row>
    <row r="5" spans="1:8" ht="21" customHeight="1" x14ac:dyDescent="0.3"/>
  </sheetData>
  <mergeCells count="1">
    <mergeCell ref="G2:H2"/>
  </mergeCells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 tint="-0.249977111117893"/>
  </sheetPr>
  <dimension ref="A1:I31"/>
  <sheetViews>
    <sheetView rightToLeft="1" zoomScale="110" zoomScaleNormal="110" workbookViewId="0">
      <pane ySplit="1" topLeftCell="A24" activePane="bottomLeft" state="frozen"/>
      <selection pane="bottomLeft" activeCell="I30" sqref="I30"/>
    </sheetView>
  </sheetViews>
  <sheetFormatPr defaultRowHeight="14.4" x14ac:dyDescent="0.3"/>
  <cols>
    <col min="2" max="2" width="10.44140625" bestFit="1" customWidth="1"/>
    <col min="3" max="3" width="9.88671875" customWidth="1"/>
    <col min="7" max="7" width="11.88671875" bestFit="1" customWidth="1"/>
    <col min="8" max="8" width="17.6640625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41</v>
      </c>
      <c r="C2" s="10" t="s">
        <v>89</v>
      </c>
      <c r="D2" s="3"/>
      <c r="E2" s="3">
        <v>8</v>
      </c>
      <c r="F2" s="3">
        <v>152</v>
      </c>
      <c r="G2" s="3" t="s">
        <v>90</v>
      </c>
      <c r="H2" s="5" t="s">
        <v>91</v>
      </c>
    </row>
    <row r="3" spans="1:8" ht="21" x14ac:dyDescent="0.7">
      <c r="A3" s="2">
        <v>2</v>
      </c>
      <c r="B3" s="8" t="s">
        <v>41</v>
      </c>
      <c r="C3" s="10" t="s">
        <v>103</v>
      </c>
      <c r="D3" s="3"/>
      <c r="E3" s="3">
        <v>1</v>
      </c>
      <c r="F3" s="3">
        <f t="shared" ref="F3:F7" si="0">F2-E3</f>
        <v>151</v>
      </c>
      <c r="G3" s="3" t="s">
        <v>104</v>
      </c>
      <c r="H3" s="5" t="s">
        <v>55</v>
      </c>
    </row>
    <row r="4" spans="1:8" ht="21" x14ac:dyDescent="0.7">
      <c r="A4" s="2">
        <v>3</v>
      </c>
      <c r="B4" s="8" t="s">
        <v>41</v>
      </c>
      <c r="C4" s="10" t="s">
        <v>110</v>
      </c>
      <c r="D4" s="3"/>
      <c r="E4" s="3">
        <v>2</v>
      </c>
      <c r="F4" s="3">
        <f t="shared" si="0"/>
        <v>149</v>
      </c>
      <c r="G4" s="3" t="s">
        <v>111</v>
      </c>
      <c r="H4" s="5" t="s">
        <v>55</v>
      </c>
    </row>
    <row r="5" spans="1:8" ht="21" x14ac:dyDescent="0.7">
      <c r="A5" s="2">
        <v>4</v>
      </c>
      <c r="B5" s="8" t="s">
        <v>41</v>
      </c>
      <c r="C5" s="10" t="s">
        <v>112</v>
      </c>
      <c r="D5" s="3"/>
      <c r="E5" s="3">
        <v>13</v>
      </c>
      <c r="F5" s="3">
        <f t="shared" si="0"/>
        <v>136</v>
      </c>
      <c r="G5" s="3" t="s">
        <v>113</v>
      </c>
      <c r="H5" s="5" t="s">
        <v>49</v>
      </c>
    </row>
    <row r="6" spans="1:8" ht="21" x14ac:dyDescent="0.7">
      <c r="A6" s="2">
        <v>5</v>
      </c>
      <c r="B6" s="8" t="s">
        <v>41</v>
      </c>
      <c r="C6" s="10" t="s">
        <v>118</v>
      </c>
      <c r="D6" s="3"/>
      <c r="E6" s="3">
        <v>7</v>
      </c>
      <c r="F6" s="3">
        <f t="shared" si="0"/>
        <v>129</v>
      </c>
      <c r="G6" s="3" t="s">
        <v>119</v>
      </c>
      <c r="H6" s="5" t="s">
        <v>49</v>
      </c>
    </row>
    <row r="7" spans="1:8" ht="21" x14ac:dyDescent="0.7">
      <c r="A7" s="2">
        <v>6</v>
      </c>
      <c r="B7" s="8" t="s">
        <v>41</v>
      </c>
      <c r="C7" s="10" t="s">
        <v>125</v>
      </c>
      <c r="D7" s="3"/>
      <c r="E7" s="3">
        <v>10</v>
      </c>
      <c r="F7" s="3">
        <f t="shared" si="0"/>
        <v>119</v>
      </c>
      <c r="G7" s="3">
        <v>3679</v>
      </c>
      <c r="H7" s="5" t="s">
        <v>128</v>
      </c>
    </row>
    <row r="8" spans="1:8" ht="20.25" customHeight="1" x14ac:dyDescent="0.3">
      <c r="A8" s="2"/>
      <c r="B8" s="8"/>
      <c r="C8" s="10"/>
      <c r="D8" s="3"/>
      <c r="E8" s="3">
        <v>6</v>
      </c>
      <c r="F8" s="3">
        <f t="shared" ref="F8:F13" si="1">F7-E8</f>
        <v>113</v>
      </c>
      <c r="G8" s="46" t="s">
        <v>194</v>
      </c>
      <c r="H8" s="47"/>
    </row>
    <row r="9" spans="1:8" ht="21" x14ac:dyDescent="0.7">
      <c r="A9" s="2">
        <v>7</v>
      </c>
      <c r="B9" s="8" t="s">
        <v>41</v>
      </c>
      <c r="C9" s="10" t="s">
        <v>151</v>
      </c>
      <c r="D9" s="3"/>
      <c r="E9" s="3">
        <v>3</v>
      </c>
      <c r="F9" s="3">
        <f t="shared" si="1"/>
        <v>110</v>
      </c>
      <c r="G9" s="3">
        <v>3747</v>
      </c>
      <c r="H9" s="5" t="s">
        <v>128</v>
      </c>
    </row>
    <row r="10" spans="1:8" ht="21" x14ac:dyDescent="0.7">
      <c r="A10" s="2">
        <v>8</v>
      </c>
      <c r="B10" s="8" t="s">
        <v>41</v>
      </c>
      <c r="C10" s="10" t="s">
        <v>237</v>
      </c>
      <c r="D10" s="3"/>
      <c r="E10" s="3">
        <v>1</v>
      </c>
      <c r="F10" s="3">
        <f t="shared" si="1"/>
        <v>109</v>
      </c>
      <c r="G10" s="3" t="s">
        <v>238</v>
      </c>
      <c r="H10" s="5" t="s">
        <v>55</v>
      </c>
    </row>
    <row r="11" spans="1:8" ht="21" x14ac:dyDescent="0.7">
      <c r="A11" s="2">
        <v>9</v>
      </c>
      <c r="B11" s="8" t="s">
        <v>41</v>
      </c>
      <c r="C11" s="10" t="s">
        <v>250</v>
      </c>
      <c r="D11" s="3"/>
      <c r="E11" s="3">
        <v>1</v>
      </c>
      <c r="F11" s="3">
        <f t="shared" si="1"/>
        <v>108</v>
      </c>
      <c r="G11" s="3">
        <v>3870</v>
      </c>
      <c r="H11" s="5" t="s">
        <v>164</v>
      </c>
    </row>
    <row r="12" spans="1:8" ht="21" x14ac:dyDescent="0.7">
      <c r="A12" s="2">
        <v>10</v>
      </c>
      <c r="B12" s="8" t="s">
        <v>41</v>
      </c>
      <c r="C12" s="10" t="s">
        <v>254</v>
      </c>
      <c r="D12" s="3"/>
      <c r="E12" s="3">
        <v>1</v>
      </c>
      <c r="F12" s="3">
        <f t="shared" si="1"/>
        <v>107</v>
      </c>
      <c r="G12" s="3" t="s">
        <v>253</v>
      </c>
      <c r="H12" s="5" t="s">
        <v>55</v>
      </c>
    </row>
    <row r="13" spans="1:8" ht="21" x14ac:dyDescent="0.7">
      <c r="A13" s="2">
        <v>11</v>
      </c>
      <c r="B13" s="8" t="s">
        <v>41</v>
      </c>
      <c r="C13" s="10" t="s">
        <v>259</v>
      </c>
      <c r="D13" s="3"/>
      <c r="E13" s="3">
        <v>14</v>
      </c>
      <c r="F13" s="3">
        <f t="shared" si="1"/>
        <v>93</v>
      </c>
      <c r="G13" s="3" t="s">
        <v>260</v>
      </c>
      <c r="H13" s="5" t="s">
        <v>55</v>
      </c>
    </row>
    <row r="14" spans="1:8" ht="21" x14ac:dyDescent="0.7">
      <c r="A14" s="2">
        <v>12</v>
      </c>
      <c r="B14" s="8" t="s">
        <v>41</v>
      </c>
      <c r="C14" s="10" t="s">
        <v>299</v>
      </c>
      <c r="D14" s="3"/>
      <c r="E14" s="3">
        <v>20</v>
      </c>
      <c r="F14" s="3">
        <f t="shared" ref="F14:F19" si="2">F13-E14</f>
        <v>73</v>
      </c>
      <c r="G14" s="3">
        <v>3920</v>
      </c>
      <c r="H14" s="5" t="s">
        <v>300</v>
      </c>
    </row>
    <row r="15" spans="1:8" ht="21" x14ac:dyDescent="0.7">
      <c r="A15" s="2">
        <v>13</v>
      </c>
      <c r="B15" s="8" t="s">
        <v>41</v>
      </c>
      <c r="C15" s="10" t="s">
        <v>335</v>
      </c>
      <c r="D15" s="3"/>
      <c r="E15" s="3">
        <v>1</v>
      </c>
      <c r="F15" s="3">
        <f t="shared" si="2"/>
        <v>72</v>
      </c>
      <c r="G15" s="3">
        <v>4002</v>
      </c>
      <c r="H15" s="5" t="s">
        <v>164</v>
      </c>
    </row>
    <row r="16" spans="1:8" ht="21" x14ac:dyDescent="0.7">
      <c r="A16" s="2">
        <v>14</v>
      </c>
      <c r="B16" s="8" t="s">
        <v>41</v>
      </c>
      <c r="C16" s="10" t="s">
        <v>389</v>
      </c>
      <c r="D16" s="3"/>
      <c r="E16" s="3">
        <v>1</v>
      </c>
      <c r="F16" s="3">
        <f t="shared" si="2"/>
        <v>71</v>
      </c>
      <c r="G16" s="3" t="s">
        <v>390</v>
      </c>
      <c r="H16" s="5" t="s">
        <v>55</v>
      </c>
    </row>
    <row r="17" spans="1:9" ht="21" x14ac:dyDescent="0.7">
      <c r="A17" s="2">
        <v>15</v>
      </c>
      <c r="B17" s="8" t="s">
        <v>41</v>
      </c>
      <c r="C17" s="10" t="s">
        <v>392</v>
      </c>
      <c r="D17" s="3"/>
      <c r="E17" s="3">
        <v>2</v>
      </c>
      <c r="F17" s="3">
        <f t="shared" si="2"/>
        <v>69</v>
      </c>
      <c r="G17" s="3" t="s">
        <v>393</v>
      </c>
      <c r="H17" s="5" t="s">
        <v>55</v>
      </c>
    </row>
    <row r="18" spans="1:9" ht="21" x14ac:dyDescent="0.7">
      <c r="A18" s="2">
        <v>16</v>
      </c>
      <c r="B18" s="8" t="s">
        <v>41</v>
      </c>
      <c r="C18" s="10" t="s">
        <v>503</v>
      </c>
      <c r="D18" s="3"/>
      <c r="E18" s="3">
        <v>15</v>
      </c>
      <c r="F18" s="3">
        <f t="shared" si="2"/>
        <v>54</v>
      </c>
      <c r="G18" s="3">
        <v>4211</v>
      </c>
      <c r="H18" s="5" t="s">
        <v>504</v>
      </c>
    </row>
    <row r="19" spans="1:9" ht="21" x14ac:dyDescent="0.7">
      <c r="A19" s="2">
        <v>17</v>
      </c>
      <c r="B19" s="8" t="s">
        <v>41</v>
      </c>
      <c r="C19" s="10" t="s">
        <v>511</v>
      </c>
      <c r="D19" s="3"/>
      <c r="E19" s="3">
        <v>1</v>
      </c>
      <c r="F19" s="3">
        <f t="shared" si="2"/>
        <v>53</v>
      </c>
      <c r="G19" s="3" t="s">
        <v>515</v>
      </c>
      <c r="H19" s="5" t="s">
        <v>55</v>
      </c>
    </row>
    <row r="20" spans="1:9" ht="21" x14ac:dyDescent="0.7">
      <c r="A20" s="2">
        <v>18</v>
      </c>
      <c r="B20" s="8" t="s">
        <v>41</v>
      </c>
      <c r="C20" s="10" t="s">
        <v>593</v>
      </c>
      <c r="D20" s="3"/>
      <c r="E20" s="3">
        <v>50</v>
      </c>
      <c r="F20" s="3">
        <f t="shared" ref="F20:F25" si="3">F19-E20</f>
        <v>3</v>
      </c>
      <c r="G20" s="3" t="s">
        <v>594</v>
      </c>
      <c r="H20" s="5" t="s">
        <v>595</v>
      </c>
    </row>
    <row r="21" spans="1:9" ht="21" x14ac:dyDescent="0.7">
      <c r="A21" s="2">
        <v>19</v>
      </c>
      <c r="B21" s="8" t="s">
        <v>41</v>
      </c>
      <c r="C21" s="10" t="s">
        <v>607</v>
      </c>
      <c r="D21" s="3"/>
      <c r="E21" s="3">
        <v>1</v>
      </c>
      <c r="F21" s="3">
        <f t="shared" si="3"/>
        <v>2</v>
      </c>
      <c r="G21" s="3" t="s">
        <v>608</v>
      </c>
      <c r="H21" s="5" t="s">
        <v>55</v>
      </c>
    </row>
    <row r="22" spans="1:9" ht="21" x14ac:dyDescent="0.7">
      <c r="A22" s="2">
        <v>20</v>
      </c>
      <c r="B22" s="8" t="s">
        <v>41</v>
      </c>
      <c r="C22" s="10" t="s">
        <v>674</v>
      </c>
      <c r="D22" s="3"/>
      <c r="E22" s="3">
        <v>1</v>
      </c>
      <c r="F22" s="3">
        <f t="shared" si="3"/>
        <v>1</v>
      </c>
      <c r="G22" s="3" t="s">
        <v>673</v>
      </c>
      <c r="H22" s="5" t="s">
        <v>55</v>
      </c>
    </row>
    <row r="23" spans="1:9" ht="21" x14ac:dyDescent="0.7">
      <c r="A23" s="2">
        <v>21</v>
      </c>
      <c r="B23" s="8" t="s">
        <v>41</v>
      </c>
      <c r="C23" s="10" t="s">
        <v>711</v>
      </c>
      <c r="D23" s="3"/>
      <c r="E23" s="3">
        <v>2</v>
      </c>
      <c r="F23" s="3">
        <f t="shared" si="3"/>
        <v>-1</v>
      </c>
      <c r="G23" s="3" t="s">
        <v>712</v>
      </c>
      <c r="H23" s="5" t="s">
        <v>55</v>
      </c>
    </row>
    <row r="24" spans="1:9" ht="21" x14ac:dyDescent="0.7">
      <c r="A24" s="2">
        <v>22</v>
      </c>
      <c r="B24" s="8" t="s">
        <v>41</v>
      </c>
      <c r="C24" s="10" t="s">
        <v>754</v>
      </c>
      <c r="D24" s="3"/>
      <c r="E24" s="3">
        <v>2</v>
      </c>
      <c r="F24" s="3">
        <f t="shared" si="3"/>
        <v>-3</v>
      </c>
      <c r="G24" s="3">
        <v>4534</v>
      </c>
      <c r="H24" s="5" t="s">
        <v>128</v>
      </c>
    </row>
    <row r="25" spans="1:9" ht="21" x14ac:dyDescent="0.7">
      <c r="A25" s="2">
        <v>23</v>
      </c>
      <c r="B25" s="8" t="s">
        <v>41</v>
      </c>
      <c r="C25" s="10" t="s">
        <v>756</v>
      </c>
      <c r="D25" s="3"/>
      <c r="E25" s="3">
        <v>1</v>
      </c>
      <c r="F25" s="3">
        <f t="shared" si="3"/>
        <v>-4</v>
      </c>
      <c r="G25" s="3" t="s">
        <v>757</v>
      </c>
      <c r="H25" s="5" t="s">
        <v>55</v>
      </c>
    </row>
    <row r="26" spans="1:9" ht="21" x14ac:dyDescent="0.7">
      <c r="A26" s="2">
        <v>24</v>
      </c>
      <c r="B26" s="8" t="s">
        <v>41</v>
      </c>
      <c r="C26" s="10" t="s">
        <v>843</v>
      </c>
      <c r="D26" s="3"/>
      <c r="E26" s="3">
        <v>1</v>
      </c>
      <c r="F26" s="3">
        <f>F25-E26</f>
        <v>-5</v>
      </c>
      <c r="G26" s="3" t="s">
        <v>844</v>
      </c>
      <c r="H26" s="5" t="s">
        <v>55</v>
      </c>
    </row>
    <row r="27" spans="1:9" ht="21" x14ac:dyDescent="0.7">
      <c r="A27" s="2">
        <v>25</v>
      </c>
      <c r="B27" s="8" t="s">
        <v>41</v>
      </c>
      <c r="C27" s="10"/>
      <c r="D27" s="3"/>
      <c r="E27" s="3"/>
      <c r="F27" s="3">
        <v>3</v>
      </c>
      <c r="G27" s="3"/>
      <c r="H27" s="5" t="s">
        <v>879</v>
      </c>
    </row>
    <row r="28" spans="1:9" ht="21" x14ac:dyDescent="0.7">
      <c r="A28" s="2">
        <v>26</v>
      </c>
      <c r="B28" s="8" t="s">
        <v>41</v>
      </c>
      <c r="C28" s="10" t="s">
        <v>1116</v>
      </c>
      <c r="D28" s="3"/>
      <c r="E28" s="3">
        <v>1</v>
      </c>
      <c r="F28" s="3">
        <f>F27-E28</f>
        <v>2</v>
      </c>
      <c r="G28" s="3" t="s">
        <v>1117</v>
      </c>
      <c r="H28" s="5" t="s">
        <v>55</v>
      </c>
    </row>
    <row r="29" spans="1:9" ht="21" x14ac:dyDescent="0.7">
      <c r="A29" s="2">
        <v>27</v>
      </c>
      <c r="B29" s="8" t="s">
        <v>41</v>
      </c>
      <c r="C29" s="10" t="s">
        <v>1266</v>
      </c>
      <c r="D29" s="3"/>
      <c r="E29" s="3">
        <v>1</v>
      </c>
      <c r="F29" s="3">
        <f>F28-E29</f>
        <v>1</v>
      </c>
      <c r="G29" s="3" t="s">
        <v>1267</v>
      </c>
      <c r="H29" s="5" t="s">
        <v>55</v>
      </c>
      <c r="I29" t="s">
        <v>1268</v>
      </c>
    </row>
    <row r="30" spans="1:9" ht="21" x14ac:dyDescent="0.7">
      <c r="A30" s="2">
        <v>28</v>
      </c>
      <c r="B30" s="8" t="s">
        <v>41</v>
      </c>
      <c r="C30" s="10"/>
      <c r="D30" s="3"/>
      <c r="E30" s="3"/>
      <c r="F30" s="3"/>
      <c r="G30" s="3"/>
      <c r="H30" s="5"/>
    </row>
    <row r="31" spans="1:9" ht="21" x14ac:dyDescent="0.7">
      <c r="A31" s="2">
        <v>29</v>
      </c>
      <c r="B31" s="8" t="s">
        <v>41</v>
      </c>
      <c r="C31" s="10"/>
      <c r="D31" s="3"/>
      <c r="E31" s="3"/>
      <c r="F31" s="3"/>
      <c r="G31" s="3"/>
      <c r="H31" s="5"/>
    </row>
  </sheetData>
  <mergeCells count="1">
    <mergeCell ref="G8:H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I170"/>
  <sheetViews>
    <sheetView rightToLeft="1" tabSelected="1" zoomScale="130" zoomScaleNormal="130" workbookViewId="0">
      <pane ySplit="1" topLeftCell="A158" activePane="bottomLeft" state="frozen"/>
      <selection pane="bottomLeft" activeCell="F168" sqref="F168"/>
    </sheetView>
  </sheetViews>
  <sheetFormatPr defaultRowHeight="14.4" x14ac:dyDescent="0.3"/>
  <cols>
    <col min="2" max="2" width="13" bestFit="1" customWidth="1"/>
    <col min="3" max="3" width="11.88671875" bestFit="1" customWidth="1"/>
    <col min="7" max="7" width="10" customWidth="1"/>
    <col min="8" max="8" width="28.88671875" bestFit="1" customWidth="1"/>
  </cols>
  <sheetData>
    <row r="1" spans="1:8" ht="22.2" x14ac:dyDescent="0.75">
      <c r="A1" s="1" t="s">
        <v>0</v>
      </c>
      <c r="B1" s="8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4" t="s">
        <v>6</v>
      </c>
    </row>
    <row r="2" spans="1:8" ht="21" x14ac:dyDescent="0.7">
      <c r="A2" s="2">
        <v>1</v>
      </c>
      <c r="B2" s="8" t="s">
        <v>267</v>
      </c>
      <c r="C2" s="13" t="s">
        <v>266</v>
      </c>
      <c r="D2" s="3">
        <v>60</v>
      </c>
      <c r="E2" s="3"/>
      <c r="F2" s="3">
        <v>60</v>
      </c>
      <c r="G2" s="3"/>
      <c r="H2" s="5"/>
    </row>
    <row r="3" spans="1:8" ht="21" x14ac:dyDescent="0.7">
      <c r="A3" s="2">
        <v>2</v>
      </c>
      <c r="B3" s="8" t="s">
        <v>267</v>
      </c>
      <c r="C3" s="3" t="s">
        <v>358</v>
      </c>
      <c r="D3" s="3"/>
      <c r="E3" s="3">
        <v>4</v>
      </c>
      <c r="F3" s="3">
        <f>F2-E3</f>
        <v>56</v>
      </c>
      <c r="G3" s="3">
        <v>4015</v>
      </c>
      <c r="H3" s="5" t="s">
        <v>96</v>
      </c>
    </row>
    <row r="4" spans="1:8" ht="21" x14ac:dyDescent="0.7">
      <c r="A4" s="2">
        <v>3</v>
      </c>
      <c r="B4" s="8" t="s">
        <v>267</v>
      </c>
      <c r="C4" s="3" t="s">
        <v>406</v>
      </c>
      <c r="D4" s="3"/>
      <c r="E4" s="3">
        <v>1</v>
      </c>
      <c r="F4" s="3">
        <f>F3-E4</f>
        <v>55</v>
      </c>
      <c r="G4" s="3">
        <v>4090</v>
      </c>
      <c r="H4" s="5" t="s">
        <v>407</v>
      </c>
    </row>
    <row r="5" spans="1:8" ht="21" x14ac:dyDescent="0.7">
      <c r="A5" s="2">
        <v>4</v>
      </c>
      <c r="B5" s="8" t="s">
        <v>267</v>
      </c>
      <c r="C5" s="3" t="s">
        <v>426</v>
      </c>
      <c r="D5" s="3"/>
      <c r="E5" s="3">
        <v>1</v>
      </c>
      <c r="F5" s="3">
        <f>F4-E5</f>
        <v>54</v>
      </c>
      <c r="G5" s="3">
        <v>4120</v>
      </c>
      <c r="H5" s="5" t="s">
        <v>427</v>
      </c>
    </row>
    <row r="6" spans="1:8" ht="21" x14ac:dyDescent="0.7">
      <c r="A6" s="2">
        <v>5</v>
      </c>
      <c r="B6" s="8" t="s">
        <v>267</v>
      </c>
      <c r="C6" s="3" t="s">
        <v>448</v>
      </c>
      <c r="D6" s="3"/>
      <c r="E6" s="3">
        <v>2</v>
      </c>
      <c r="F6" s="3">
        <f>F5-E6</f>
        <v>52</v>
      </c>
      <c r="G6" s="3">
        <v>4143</v>
      </c>
      <c r="H6" s="5" t="s">
        <v>96</v>
      </c>
    </row>
    <row r="7" spans="1:8" ht="21" x14ac:dyDescent="0.7">
      <c r="A7" s="2">
        <v>6</v>
      </c>
      <c r="B7" s="8" t="s">
        <v>267</v>
      </c>
      <c r="C7" s="3" t="s">
        <v>461</v>
      </c>
      <c r="D7" s="3"/>
      <c r="E7" s="3">
        <v>4</v>
      </c>
      <c r="F7" s="3">
        <f>F6-E7</f>
        <v>48</v>
      </c>
      <c r="G7" s="3">
        <v>4152</v>
      </c>
      <c r="H7" s="5" t="s">
        <v>96</v>
      </c>
    </row>
    <row r="8" spans="1:8" ht="21" customHeight="1" x14ac:dyDescent="0.3">
      <c r="A8" s="2">
        <v>7</v>
      </c>
      <c r="B8" s="8" t="s">
        <v>267</v>
      </c>
      <c r="C8" s="3" t="s">
        <v>495</v>
      </c>
      <c r="D8" s="3">
        <v>120</v>
      </c>
      <c r="E8" s="3"/>
      <c r="F8" s="3">
        <f>F7+D8</f>
        <v>168</v>
      </c>
      <c r="G8" s="16"/>
      <c r="H8" s="16" t="s">
        <v>497</v>
      </c>
    </row>
    <row r="9" spans="1:8" ht="21" x14ac:dyDescent="0.7">
      <c r="A9" s="2">
        <v>8</v>
      </c>
      <c r="B9" s="8" t="s">
        <v>267</v>
      </c>
      <c r="C9" s="3" t="s">
        <v>516</v>
      </c>
      <c r="D9" s="3"/>
      <c r="E9" s="3">
        <v>25</v>
      </c>
      <c r="F9" s="3">
        <f t="shared" ref="F9:F14" si="0">F8-E9</f>
        <v>143</v>
      </c>
      <c r="G9" s="3">
        <v>4222</v>
      </c>
      <c r="H9" s="5" t="s">
        <v>43</v>
      </c>
    </row>
    <row r="10" spans="1:8" ht="21" x14ac:dyDescent="0.7">
      <c r="A10" s="2">
        <v>9</v>
      </c>
      <c r="B10" s="8" t="s">
        <v>267</v>
      </c>
      <c r="C10" s="3" t="s">
        <v>538</v>
      </c>
      <c r="D10" s="3"/>
      <c r="E10" s="3">
        <v>1</v>
      </c>
      <c r="F10" s="3">
        <f t="shared" si="0"/>
        <v>142</v>
      </c>
      <c r="G10" s="3">
        <v>4239</v>
      </c>
      <c r="H10" s="5" t="s">
        <v>150</v>
      </c>
    </row>
    <row r="11" spans="1:8" ht="21" x14ac:dyDescent="0.7">
      <c r="A11" s="2">
        <v>10</v>
      </c>
      <c r="B11" s="8" t="s">
        <v>267</v>
      </c>
      <c r="C11" s="3" t="s">
        <v>633</v>
      </c>
      <c r="D11" s="3"/>
      <c r="E11" s="3">
        <v>1</v>
      </c>
      <c r="F11" s="3">
        <f t="shared" si="0"/>
        <v>141</v>
      </c>
      <c r="G11" s="3">
        <v>4344</v>
      </c>
      <c r="H11" s="5" t="s">
        <v>634</v>
      </c>
    </row>
    <row r="12" spans="1:8" ht="21" x14ac:dyDescent="0.7">
      <c r="A12" s="2">
        <v>11</v>
      </c>
      <c r="B12" s="8" t="s">
        <v>267</v>
      </c>
      <c r="C12" s="3" t="s">
        <v>637</v>
      </c>
      <c r="D12" s="3"/>
      <c r="E12" s="3">
        <v>6</v>
      </c>
      <c r="F12" s="3">
        <f t="shared" si="0"/>
        <v>135</v>
      </c>
      <c r="G12" s="3">
        <v>4360</v>
      </c>
      <c r="H12" s="5" t="s">
        <v>43</v>
      </c>
    </row>
    <row r="13" spans="1:8" ht="21" x14ac:dyDescent="0.7">
      <c r="A13" s="2">
        <v>12</v>
      </c>
      <c r="B13" s="8" t="s">
        <v>267</v>
      </c>
      <c r="C13" s="3" t="s">
        <v>654</v>
      </c>
      <c r="D13" s="3"/>
      <c r="E13" s="3">
        <v>2</v>
      </c>
      <c r="F13" s="3">
        <f t="shared" si="0"/>
        <v>133</v>
      </c>
      <c r="G13" s="3">
        <v>4385</v>
      </c>
      <c r="H13" s="5" t="s">
        <v>658</v>
      </c>
    </row>
    <row r="14" spans="1:8" ht="21" x14ac:dyDescent="0.7">
      <c r="A14" s="2">
        <v>13</v>
      </c>
      <c r="B14" s="8" t="s">
        <v>267</v>
      </c>
      <c r="C14" s="3" t="s">
        <v>672</v>
      </c>
      <c r="D14" s="3"/>
      <c r="E14" s="3">
        <v>2</v>
      </c>
      <c r="F14" s="3">
        <f t="shared" si="0"/>
        <v>131</v>
      </c>
      <c r="G14" s="3">
        <v>4405</v>
      </c>
      <c r="H14" s="5" t="s">
        <v>658</v>
      </c>
    </row>
    <row r="15" spans="1:8" ht="21" x14ac:dyDescent="0.7">
      <c r="A15" s="2">
        <v>14</v>
      </c>
      <c r="B15" s="8" t="s">
        <v>267</v>
      </c>
      <c r="C15" s="3" t="s">
        <v>692</v>
      </c>
      <c r="D15" s="3"/>
      <c r="E15" s="3">
        <v>30</v>
      </c>
      <c r="F15" s="3">
        <f>F14-E15</f>
        <v>101</v>
      </c>
      <c r="G15" s="3">
        <v>4448</v>
      </c>
      <c r="H15" s="5" t="s">
        <v>386</v>
      </c>
    </row>
    <row r="16" spans="1:8" ht="21" x14ac:dyDescent="0.7">
      <c r="A16" s="2">
        <v>15</v>
      </c>
      <c r="B16" s="8" t="s">
        <v>267</v>
      </c>
      <c r="C16" s="3" t="s">
        <v>698</v>
      </c>
      <c r="D16" s="3"/>
      <c r="E16" s="3">
        <v>36</v>
      </c>
      <c r="F16" s="3">
        <f>F15-E16</f>
        <v>65</v>
      </c>
      <c r="G16" s="3">
        <v>4450</v>
      </c>
      <c r="H16" s="5" t="s">
        <v>386</v>
      </c>
    </row>
    <row r="17" spans="1:9" ht="21" x14ac:dyDescent="0.7">
      <c r="A17" s="2">
        <v>16</v>
      </c>
      <c r="B17" s="8" t="s">
        <v>267</v>
      </c>
      <c r="C17" s="3" t="s">
        <v>709</v>
      </c>
      <c r="D17" s="3"/>
      <c r="E17" s="3">
        <v>1</v>
      </c>
      <c r="F17" s="3">
        <f>F16-E17</f>
        <v>64</v>
      </c>
      <c r="G17" s="3">
        <v>4469</v>
      </c>
      <c r="H17" s="5" t="s">
        <v>714</v>
      </c>
    </row>
    <row r="18" spans="1:9" ht="21" x14ac:dyDescent="0.7">
      <c r="A18" s="2">
        <v>17</v>
      </c>
      <c r="B18" s="8" t="s">
        <v>267</v>
      </c>
      <c r="C18" s="3" t="s">
        <v>724</v>
      </c>
      <c r="D18" s="3"/>
      <c r="E18" s="3">
        <v>60</v>
      </c>
      <c r="F18" s="3">
        <f>F17-E18</f>
        <v>4</v>
      </c>
      <c r="G18" s="3">
        <v>4482</v>
      </c>
      <c r="H18" s="5" t="s">
        <v>43</v>
      </c>
    </row>
    <row r="19" spans="1:9" ht="21" x14ac:dyDescent="0.7">
      <c r="A19" s="2">
        <v>18</v>
      </c>
      <c r="B19" s="8" t="s">
        <v>267</v>
      </c>
      <c r="C19" s="3" t="s">
        <v>733</v>
      </c>
      <c r="D19" s="3"/>
      <c r="E19" s="3">
        <v>4</v>
      </c>
      <c r="F19" s="3">
        <f>F18-E19</f>
        <v>0</v>
      </c>
      <c r="G19" s="3" t="s">
        <v>734</v>
      </c>
      <c r="H19" s="5" t="s">
        <v>55</v>
      </c>
    </row>
    <row r="20" spans="1:9" ht="21" x14ac:dyDescent="0.7">
      <c r="A20" s="2">
        <v>19</v>
      </c>
      <c r="B20" s="8" t="s">
        <v>267</v>
      </c>
      <c r="C20" s="3" t="s">
        <v>784</v>
      </c>
      <c r="D20" s="3">
        <v>119</v>
      </c>
      <c r="E20" s="3"/>
      <c r="F20" s="3">
        <f>F19+D20</f>
        <v>119</v>
      </c>
      <c r="G20" s="3"/>
      <c r="H20" s="19" t="s">
        <v>786</v>
      </c>
      <c r="I20" t="s">
        <v>826</v>
      </c>
    </row>
    <row r="21" spans="1:9" ht="21" x14ac:dyDescent="0.7">
      <c r="A21" s="2">
        <v>20</v>
      </c>
      <c r="B21" s="8" t="s">
        <v>267</v>
      </c>
      <c r="C21" s="3" t="s">
        <v>788</v>
      </c>
      <c r="D21" s="3"/>
      <c r="E21" s="3">
        <v>5</v>
      </c>
      <c r="F21" s="3">
        <f t="shared" ref="F21:F26" si="1">F20-E21</f>
        <v>114</v>
      </c>
      <c r="G21" s="3" t="s">
        <v>790</v>
      </c>
      <c r="H21" s="5" t="s">
        <v>789</v>
      </c>
    </row>
    <row r="22" spans="1:9" ht="21" x14ac:dyDescent="0.7">
      <c r="A22" s="2">
        <v>21</v>
      </c>
      <c r="B22" s="8" t="s">
        <v>267</v>
      </c>
      <c r="C22" s="3" t="s">
        <v>822</v>
      </c>
      <c r="D22" s="3"/>
      <c r="E22" s="3">
        <v>1</v>
      </c>
      <c r="F22" s="3">
        <f t="shared" si="1"/>
        <v>113</v>
      </c>
      <c r="G22" s="3" t="s">
        <v>823</v>
      </c>
      <c r="H22" s="5" t="s">
        <v>55</v>
      </c>
    </row>
    <row r="23" spans="1:9" ht="21" x14ac:dyDescent="0.7">
      <c r="A23" s="2">
        <v>22</v>
      </c>
      <c r="B23" s="8" t="s">
        <v>267</v>
      </c>
      <c r="C23" s="3" t="s">
        <v>832</v>
      </c>
      <c r="D23" s="3"/>
      <c r="E23" s="3">
        <v>2</v>
      </c>
      <c r="F23" s="3">
        <f t="shared" si="1"/>
        <v>111</v>
      </c>
      <c r="G23" s="3">
        <v>4635</v>
      </c>
      <c r="H23" s="5" t="s">
        <v>833</v>
      </c>
    </row>
    <row r="24" spans="1:9" ht="21" x14ac:dyDescent="0.7">
      <c r="A24" s="2">
        <v>23</v>
      </c>
      <c r="B24" s="8" t="s">
        <v>267</v>
      </c>
      <c r="C24" s="3" t="s">
        <v>839</v>
      </c>
      <c r="D24" s="3"/>
      <c r="E24" s="3">
        <v>1</v>
      </c>
      <c r="F24" s="3">
        <f t="shared" si="1"/>
        <v>110</v>
      </c>
      <c r="G24" s="3" t="s">
        <v>840</v>
      </c>
      <c r="H24" s="5" t="s">
        <v>55</v>
      </c>
    </row>
    <row r="25" spans="1:9" ht="21" x14ac:dyDescent="0.7">
      <c r="A25" s="2">
        <v>24</v>
      </c>
      <c r="B25" s="8" t="s">
        <v>267</v>
      </c>
      <c r="C25" s="3" t="s">
        <v>845</v>
      </c>
      <c r="D25" s="3"/>
      <c r="E25" s="3">
        <v>2</v>
      </c>
      <c r="F25" s="3">
        <f t="shared" si="1"/>
        <v>108</v>
      </c>
      <c r="G25" s="3" t="s">
        <v>846</v>
      </c>
      <c r="H25" s="5" t="s">
        <v>55</v>
      </c>
    </row>
    <row r="26" spans="1:9" ht="21" x14ac:dyDescent="0.7">
      <c r="A26" s="2">
        <v>25</v>
      </c>
      <c r="B26" s="8" t="s">
        <v>267</v>
      </c>
      <c r="C26" s="3" t="s">
        <v>848</v>
      </c>
      <c r="D26" s="3"/>
      <c r="E26" s="3">
        <v>1</v>
      </c>
      <c r="F26" s="3">
        <f t="shared" si="1"/>
        <v>107</v>
      </c>
      <c r="G26" s="3">
        <v>4646</v>
      </c>
      <c r="H26" s="5" t="s">
        <v>849</v>
      </c>
    </row>
    <row r="27" spans="1:9" ht="21" x14ac:dyDescent="0.7">
      <c r="A27" s="2">
        <v>26</v>
      </c>
      <c r="B27" s="8" t="s">
        <v>267</v>
      </c>
      <c r="C27" s="3" t="s">
        <v>871</v>
      </c>
      <c r="D27" s="3"/>
      <c r="E27" s="3">
        <v>1</v>
      </c>
      <c r="F27" s="3">
        <f t="shared" ref="F27:F32" si="2">F26-E27</f>
        <v>106</v>
      </c>
      <c r="G27" s="3">
        <v>4691</v>
      </c>
      <c r="H27" s="5" t="s">
        <v>833</v>
      </c>
    </row>
    <row r="28" spans="1:9" ht="21" x14ac:dyDescent="0.7">
      <c r="A28" s="2">
        <v>27</v>
      </c>
      <c r="B28" s="8" t="s">
        <v>267</v>
      </c>
      <c r="C28" s="3" t="s">
        <v>874</v>
      </c>
      <c r="D28" s="3"/>
      <c r="E28" s="3">
        <v>5</v>
      </c>
      <c r="F28" s="3">
        <f t="shared" si="2"/>
        <v>101</v>
      </c>
      <c r="G28" s="3" t="s">
        <v>875</v>
      </c>
      <c r="H28" s="5" t="s">
        <v>55</v>
      </c>
    </row>
    <row r="29" spans="1:9" ht="21" x14ac:dyDescent="0.7">
      <c r="A29" s="2">
        <v>28</v>
      </c>
      <c r="B29" s="8" t="s">
        <v>267</v>
      </c>
      <c r="C29" s="3" t="s">
        <v>874</v>
      </c>
      <c r="D29" s="3"/>
      <c r="E29" s="3">
        <v>1</v>
      </c>
      <c r="F29" s="3">
        <f t="shared" si="2"/>
        <v>100</v>
      </c>
      <c r="G29" s="3" t="s">
        <v>876</v>
      </c>
      <c r="H29" s="5" t="s">
        <v>877</v>
      </c>
      <c r="I29" t="s">
        <v>774</v>
      </c>
    </row>
    <row r="30" spans="1:9" ht="21" x14ac:dyDescent="0.7">
      <c r="A30" s="2">
        <v>29</v>
      </c>
      <c r="B30" s="8" t="s">
        <v>267</v>
      </c>
      <c r="C30" s="3" t="s">
        <v>905</v>
      </c>
      <c r="D30" s="3"/>
      <c r="E30" s="3">
        <v>20</v>
      </c>
      <c r="F30" s="3">
        <f t="shared" si="2"/>
        <v>80</v>
      </c>
      <c r="G30" s="3" t="s">
        <v>906</v>
      </c>
      <c r="H30" s="5" t="s">
        <v>55</v>
      </c>
    </row>
    <row r="31" spans="1:9" ht="21" x14ac:dyDescent="0.7">
      <c r="A31" s="2">
        <v>30</v>
      </c>
      <c r="B31" s="8" t="s">
        <v>267</v>
      </c>
      <c r="C31" s="3" t="s">
        <v>924</v>
      </c>
      <c r="D31" s="3"/>
      <c r="E31" s="3">
        <v>45</v>
      </c>
      <c r="F31" s="3">
        <f t="shared" si="2"/>
        <v>35</v>
      </c>
      <c r="G31" s="3">
        <v>4749</v>
      </c>
      <c r="H31" s="5" t="s">
        <v>386</v>
      </c>
    </row>
    <row r="32" spans="1:9" ht="21" x14ac:dyDescent="0.7">
      <c r="A32" s="2">
        <v>31</v>
      </c>
      <c r="B32" s="8" t="s">
        <v>267</v>
      </c>
      <c r="C32" s="3" t="s">
        <v>931</v>
      </c>
      <c r="D32" s="3"/>
      <c r="E32" s="3">
        <v>1</v>
      </c>
      <c r="F32" s="3">
        <f t="shared" si="2"/>
        <v>34</v>
      </c>
      <c r="G32" s="3">
        <v>4752</v>
      </c>
      <c r="H32" s="5" t="s">
        <v>933</v>
      </c>
    </row>
    <row r="33" spans="1:8" ht="21" x14ac:dyDescent="0.7">
      <c r="A33" s="2">
        <v>32</v>
      </c>
      <c r="B33" s="8" t="s">
        <v>267</v>
      </c>
      <c r="C33" s="3" t="s">
        <v>935</v>
      </c>
      <c r="D33" s="3"/>
      <c r="E33" s="3">
        <v>1</v>
      </c>
      <c r="F33" s="3">
        <f t="shared" ref="F33:F38" si="3">F32-E33</f>
        <v>33</v>
      </c>
      <c r="G33" s="3" t="s">
        <v>936</v>
      </c>
      <c r="H33" s="5" t="s">
        <v>55</v>
      </c>
    </row>
    <row r="34" spans="1:8" ht="21" x14ac:dyDescent="0.7">
      <c r="A34" s="2">
        <v>33</v>
      </c>
      <c r="B34" s="8" t="s">
        <v>267</v>
      </c>
      <c r="C34" s="3" t="s">
        <v>949</v>
      </c>
      <c r="D34" s="3"/>
      <c r="E34" s="3">
        <v>1</v>
      </c>
      <c r="F34" s="3">
        <f t="shared" si="3"/>
        <v>32</v>
      </c>
      <c r="G34" s="3" t="s">
        <v>952</v>
      </c>
      <c r="H34" s="5" t="s">
        <v>55</v>
      </c>
    </row>
    <row r="35" spans="1:8" ht="21" x14ac:dyDescent="0.7">
      <c r="A35" s="2">
        <v>34</v>
      </c>
      <c r="B35" s="8" t="s">
        <v>267</v>
      </c>
      <c r="C35" s="3" t="s">
        <v>975</v>
      </c>
      <c r="D35" s="3"/>
      <c r="E35" s="3">
        <v>4</v>
      </c>
      <c r="F35" s="3">
        <f t="shared" si="3"/>
        <v>28</v>
      </c>
      <c r="G35" s="3" t="s">
        <v>977</v>
      </c>
      <c r="H35" s="5" t="s">
        <v>978</v>
      </c>
    </row>
    <row r="36" spans="1:8" ht="21" x14ac:dyDescent="0.7">
      <c r="A36" s="2">
        <v>35</v>
      </c>
      <c r="B36" s="8" t="s">
        <v>267</v>
      </c>
      <c r="C36" s="3" t="s">
        <v>979</v>
      </c>
      <c r="D36" s="3"/>
      <c r="E36" s="3">
        <v>1</v>
      </c>
      <c r="F36" s="3">
        <f t="shared" si="3"/>
        <v>27</v>
      </c>
      <c r="G36" s="3">
        <v>4842</v>
      </c>
      <c r="H36" s="5" t="s">
        <v>981</v>
      </c>
    </row>
    <row r="37" spans="1:8" ht="21" x14ac:dyDescent="0.7">
      <c r="A37" s="2">
        <v>36</v>
      </c>
      <c r="B37" s="8" t="s">
        <v>267</v>
      </c>
      <c r="C37" s="3" t="s">
        <v>984</v>
      </c>
      <c r="D37" s="3"/>
      <c r="E37" s="3">
        <v>5</v>
      </c>
      <c r="F37" s="3">
        <f t="shared" si="3"/>
        <v>22</v>
      </c>
      <c r="G37" s="3">
        <v>4851</v>
      </c>
      <c r="H37" s="5" t="s">
        <v>988</v>
      </c>
    </row>
    <row r="38" spans="1:8" ht="21" x14ac:dyDescent="0.7">
      <c r="A38" s="2">
        <v>37</v>
      </c>
      <c r="B38" s="8" t="s">
        <v>267</v>
      </c>
      <c r="C38" s="3" t="s">
        <v>995</v>
      </c>
      <c r="D38" s="3"/>
      <c r="E38" s="3">
        <v>2</v>
      </c>
      <c r="F38" s="3">
        <f t="shared" si="3"/>
        <v>20</v>
      </c>
      <c r="G38" s="3">
        <v>4873</v>
      </c>
      <c r="H38" s="5" t="s">
        <v>996</v>
      </c>
    </row>
    <row r="39" spans="1:8" ht="20.25" customHeight="1" x14ac:dyDescent="0.3">
      <c r="A39" s="2">
        <v>38</v>
      </c>
      <c r="B39" s="8" t="s">
        <v>267</v>
      </c>
      <c r="C39" s="3" t="s">
        <v>999</v>
      </c>
      <c r="D39" s="3">
        <v>240</v>
      </c>
      <c r="E39" s="3"/>
      <c r="F39" s="3">
        <f>F38+D39</f>
        <v>260</v>
      </c>
      <c r="G39" s="44" t="s">
        <v>1002</v>
      </c>
      <c r="H39" s="47"/>
    </row>
    <row r="40" spans="1:8" ht="21" x14ac:dyDescent="0.7">
      <c r="A40" s="2">
        <v>39</v>
      </c>
      <c r="B40" s="8" t="s">
        <v>267</v>
      </c>
      <c r="C40" s="3" t="s">
        <v>1007</v>
      </c>
      <c r="D40" s="3"/>
      <c r="E40" s="3">
        <v>20</v>
      </c>
      <c r="F40" s="3">
        <f t="shared" ref="F40:F45" si="4">F39-E40</f>
        <v>240</v>
      </c>
      <c r="G40" s="3" t="s">
        <v>1008</v>
      </c>
      <c r="H40" s="5" t="s">
        <v>1009</v>
      </c>
    </row>
    <row r="41" spans="1:8" ht="21" x14ac:dyDescent="0.7">
      <c r="A41" s="2">
        <v>40</v>
      </c>
      <c r="B41" s="8" t="s">
        <v>267</v>
      </c>
      <c r="C41" s="3" t="s">
        <v>1028</v>
      </c>
      <c r="D41" s="3"/>
      <c r="E41" s="3">
        <v>1</v>
      </c>
      <c r="F41" s="3">
        <f t="shared" si="4"/>
        <v>239</v>
      </c>
      <c r="G41" s="3" t="s">
        <v>1029</v>
      </c>
      <c r="H41" s="5" t="s">
        <v>55</v>
      </c>
    </row>
    <row r="42" spans="1:8" ht="21" x14ac:dyDescent="0.7">
      <c r="A42" s="2">
        <v>41</v>
      </c>
      <c r="B42" s="8" t="s">
        <v>267</v>
      </c>
      <c r="C42" s="3" t="s">
        <v>1035</v>
      </c>
      <c r="D42" s="3"/>
      <c r="E42" s="3">
        <v>1</v>
      </c>
      <c r="F42" s="3">
        <f t="shared" si="4"/>
        <v>238</v>
      </c>
      <c r="G42" s="3" t="s">
        <v>1036</v>
      </c>
      <c r="H42" s="5" t="s">
        <v>55</v>
      </c>
    </row>
    <row r="43" spans="1:8" ht="21" x14ac:dyDescent="0.7">
      <c r="A43" s="2">
        <v>42</v>
      </c>
      <c r="B43" s="8" t="s">
        <v>267</v>
      </c>
      <c r="C43" s="3" t="s">
        <v>1039</v>
      </c>
      <c r="D43" s="3"/>
      <c r="E43" s="3">
        <v>1</v>
      </c>
      <c r="F43" s="3">
        <f t="shared" si="4"/>
        <v>237</v>
      </c>
      <c r="G43" s="3" t="s">
        <v>1040</v>
      </c>
      <c r="H43" s="5" t="s">
        <v>55</v>
      </c>
    </row>
    <row r="44" spans="1:8" ht="21" x14ac:dyDescent="0.7">
      <c r="A44" s="2">
        <v>43</v>
      </c>
      <c r="B44" s="8" t="s">
        <v>267</v>
      </c>
      <c r="C44" s="3" t="s">
        <v>1047</v>
      </c>
      <c r="D44" s="3"/>
      <c r="E44" s="3">
        <v>3</v>
      </c>
      <c r="F44" s="3">
        <f t="shared" si="4"/>
        <v>234</v>
      </c>
      <c r="G44" s="3">
        <v>4938</v>
      </c>
      <c r="H44" s="5" t="s">
        <v>1050</v>
      </c>
    </row>
    <row r="45" spans="1:8" ht="21" x14ac:dyDescent="0.7">
      <c r="A45" s="2">
        <v>44</v>
      </c>
      <c r="B45" s="8" t="s">
        <v>267</v>
      </c>
      <c r="C45" s="3" t="s">
        <v>1104</v>
      </c>
      <c r="D45" s="3"/>
      <c r="E45" s="3">
        <v>1</v>
      </c>
      <c r="F45" s="3">
        <f t="shared" si="4"/>
        <v>233</v>
      </c>
      <c r="G45" s="3">
        <v>5041</v>
      </c>
      <c r="H45" s="5" t="s">
        <v>169</v>
      </c>
    </row>
    <row r="46" spans="1:8" ht="21" x14ac:dyDescent="0.7">
      <c r="A46" s="2">
        <v>45</v>
      </c>
      <c r="B46" s="8" t="s">
        <v>267</v>
      </c>
      <c r="C46" s="3" t="s">
        <v>1108</v>
      </c>
      <c r="D46" s="3"/>
      <c r="E46" s="3">
        <v>2</v>
      </c>
      <c r="F46" s="3">
        <f t="shared" ref="F46:F51" si="5">F45-E46</f>
        <v>231</v>
      </c>
      <c r="G46" s="3" t="s">
        <v>1109</v>
      </c>
      <c r="H46" s="5" t="s">
        <v>55</v>
      </c>
    </row>
    <row r="47" spans="1:8" ht="21" x14ac:dyDescent="0.7">
      <c r="A47" s="2">
        <v>46</v>
      </c>
      <c r="B47" s="8" t="s">
        <v>267</v>
      </c>
      <c r="C47" s="3" t="s">
        <v>1113</v>
      </c>
      <c r="D47" s="3"/>
      <c r="E47" s="3">
        <v>4</v>
      </c>
      <c r="F47" s="3">
        <f t="shared" si="5"/>
        <v>227</v>
      </c>
      <c r="G47" s="3">
        <v>5072</v>
      </c>
      <c r="H47" s="5" t="s">
        <v>1114</v>
      </c>
    </row>
    <row r="48" spans="1:8" ht="21" x14ac:dyDescent="0.7">
      <c r="A48" s="2">
        <v>47</v>
      </c>
      <c r="B48" s="8" t="s">
        <v>267</v>
      </c>
      <c r="C48" s="3" t="s">
        <v>1135</v>
      </c>
      <c r="D48" s="3"/>
      <c r="E48" s="3">
        <v>2</v>
      </c>
      <c r="F48" s="3">
        <f t="shared" si="5"/>
        <v>225</v>
      </c>
      <c r="G48" s="3">
        <v>5099</v>
      </c>
      <c r="H48" s="5" t="s">
        <v>1038</v>
      </c>
    </row>
    <row r="49" spans="1:8" ht="21" x14ac:dyDescent="0.7">
      <c r="A49" s="2">
        <v>48</v>
      </c>
      <c r="B49" s="8" t="s">
        <v>267</v>
      </c>
      <c r="C49" s="3" t="s">
        <v>1144</v>
      </c>
      <c r="D49" s="3"/>
      <c r="E49" s="3">
        <v>50</v>
      </c>
      <c r="F49" s="3">
        <f t="shared" si="5"/>
        <v>175</v>
      </c>
      <c r="G49" s="3">
        <v>5102</v>
      </c>
      <c r="H49" s="5" t="s">
        <v>43</v>
      </c>
    </row>
    <row r="50" spans="1:8" ht="21" x14ac:dyDescent="0.7">
      <c r="A50" s="2">
        <v>49</v>
      </c>
      <c r="B50" s="8" t="s">
        <v>267</v>
      </c>
      <c r="C50" s="3" t="s">
        <v>1162</v>
      </c>
      <c r="D50" s="3"/>
      <c r="E50" s="3">
        <v>1</v>
      </c>
      <c r="F50" s="3">
        <f t="shared" si="5"/>
        <v>174</v>
      </c>
      <c r="G50" s="3" t="s">
        <v>1163</v>
      </c>
      <c r="H50" s="5" t="s">
        <v>55</v>
      </c>
    </row>
    <row r="51" spans="1:8" ht="21" x14ac:dyDescent="0.7">
      <c r="A51" s="2">
        <v>50</v>
      </c>
      <c r="B51" s="8" t="s">
        <v>267</v>
      </c>
      <c r="C51" s="3" t="s">
        <v>1166</v>
      </c>
      <c r="D51" s="3"/>
      <c r="E51" s="3">
        <v>40</v>
      </c>
      <c r="F51" s="3">
        <f t="shared" si="5"/>
        <v>134</v>
      </c>
      <c r="G51" s="3">
        <v>5131</v>
      </c>
      <c r="H51" s="5" t="s">
        <v>1167</v>
      </c>
    </row>
    <row r="52" spans="1:8" ht="21" x14ac:dyDescent="0.7">
      <c r="A52" s="2">
        <v>51</v>
      </c>
      <c r="B52" s="8" t="s">
        <v>267</v>
      </c>
      <c r="C52" s="3" t="s">
        <v>1182</v>
      </c>
      <c r="D52" s="3"/>
      <c r="E52" s="3">
        <v>1</v>
      </c>
      <c r="F52" s="3">
        <f t="shared" ref="F52:F57" si="6">F51-E52</f>
        <v>133</v>
      </c>
      <c r="G52" s="3">
        <v>5146</v>
      </c>
      <c r="H52" s="5" t="s">
        <v>150</v>
      </c>
    </row>
    <row r="53" spans="1:8" ht="21" x14ac:dyDescent="0.7">
      <c r="A53" s="2">
        <v>52</v>
      </c>
      <c r="B53" s="8" t="s">
        <v>267</v>
      </c>
      <c r="C53" s="3" t="s">
        <v>1182</v>
      </c>
      <c r="D53" s="3"/>
      <c r="E53" s="3">
        <v>3</v>
      </c>
      <c r="F53" s="3">
        <f t="shared" si="6"/>
        <v>130</v>
      </c>
      <c r="G53" s="3">
        <v>5147</v>
      </c>
      <c r="H53" s="5" t="s">
        <v>940</v>
      </c>
    </row>
    <row r="54" spans="1:8" ht="21" x14ac:dyDescent="0.7">
      <c r="A54" s="2">
        <v>53</v>
      </c>
      <c r="B54" s="8" t="s">
        <v>267</v>
      </c>
      <c r="C54" s="3" t="s">
        <v>1195</v>
      </c>
      <c r="D54" s="3"/>
      <c r="E54" s="3">
        <v>1</v>
      </c>
      <c r="F54" s="3">
        <f t="shared" si="6"/>
        <v>129</v>
      </c>
      <c r="G54" s="3">
        <v>5161</v>
      </c>
      <c r="H54" s="5" t="s">
        <v>981</v>
      </c>
    </row>
    <row r="55" spans="1:8" ht="21" x14ac:dyDescent="0.7">
      <c r="A55" s="2">
        <v>54</v>
      </c>
      <c r="B55" s="8" t="s">
        <v>267</v>
      </c>
      <c r="C55" s="3" t="s">
        <v>1198</v>
      </c>
      <c r="D55" s="3"/>
      <c r="E55" s="3">
        <v>9</v>
      </c>
      <c r="F55" s="3">
        <f t="shared" si="6"/>
        <v>120</v>
      </c>
      <c r="G55" s="3">
        <v>5172</v>
      </c>
      <c r="H55" s="5" t="s">
        <v>639</v>
      </c>
    </row>
    <row r="56" spans="1:8" ht="21" x14ac:dyDescent="0.7">
      <c r="A56" s="2">
        <v>55</v>
      </c>
      <c r="B56" s="8" t="s">
        <v>267</v>
      </c>
      <c r="C56" s="3" t="s">
        <v>1217</v>
      </c>
      <c r="D56" s="3"/>
      <c r="E56" s="3">
        <v>2</v>
      </c>
      <c r="F56" s="3">
        <f t="shared" si="6"/>
        <v>118</v>
      </c>
      <c r="G56" s="3">
        <v>5189</v>
      </c>
      <c r="H56" s="5" t="s">
        <v>386</v>
      </c>
    </row>
    <row r="57" spans="1:8" ht="21" x14ac:dyDescent="0.7">
      <c r="A57" s="2">
        <v>56</v>
      </c>
      <c r="B57" s="8" t="s">
        <v>267</v>
      </c>
      <c r="C57" s="3" t="s">
        <v>1248</v>
      </c>
      <c r="D57" s="3"/>
      <c r="E57" s="3">
        <v>3</v>
      </c>
      <c r="F57" s="3">
        <f t="shared" si="6"/>
        <v>115</v>
      </c>
      <c r="G57" s="3">
        <v>5244</v>
      </c>
      <c r="H57" s="5" t="s">
        <v>1250</v>
      </c>
    </row>
    <row r="58" spans="1:8" ht="21" x14ac:dyDescent="0.7">
      <c r="A58" s="2">
        <v>57</v>
      </c>
      <c r="B58" s="8" t="s">
        <v>267</v>
      </c>
      <c r="C58" s="3" t="s">
        <v>1269</v>
      </c>
      <c r="D58" s="3"/>
      <c r="E58" s="3">
        <v>4</v>
      </c>
      <c r="F58" s="3">
        <f t="shared" ref="F58:F63" si="7">F57-E58</f>
        <v>111</v>
      </c>
      <c r="G58" s="3">
        <v>5258</v>
      </c>
      <c r="H58" s="5" t="s">
        <v>1270</v>
      </c>
    </row>
    <row r="59" spans="1:8" ht="21" x14ac:dyDescent="0.7">
      <c r="A59" s="2">
        <v>58</v>
      </c>
      <c r="B59" s="8" t="s">
        <v>267</v>
      </c>
      <c r="C59" s="3" t="s">
        <v>1292</v>
      </c>
      <c r="D59" s="3"/>
      <c r="E59" s="3">
        <v>2</v>
      </c>
      <c r="F59" s="3">
        <f t="shared" si="7"/>
        <v>109</v>
      </c>
      <c r="G59" s="3">
        <v>5294</v>
      </c>
      <c r="H59" s="5" t="s">
        <v>1293</v>
      </c>
    </row>
    <row r="60" spans="1:8" ht="21" x14ac:dyDescent="0.7">
      <c r="A60" s="2">
        <v>59</v>
      </c>
      <c r="B60" s="8" t="s">
        <v>267</v>
      </c>
      <c r="C60" s="3" t="s">
        <v>1294</v>
      </c>
      <c r="D60" s="3"/>
      <c r="E60" s="3">
        <v>2</v>
      </c>
      <c r="F60" s="3">
        <f t="shared" si="7"/>
        <v>107</v>
      </c>
      <c r="G60" s="3" t="s">
        <v>1295</v>
      </c>
      <c r="H60" s="5" t="s">
        <v>978</v>
      </c>
    </row>
    <row r="61" spans="1:8" ht="21" x14ac:dyDescent="0.7">
      <c r="A61" s="2">
        <v>60</v>
      </c>
      <c r="B61" s="8" t="s">
        <v>267</v>
      </c>
      <c r="C61" s="3" t="s">
        <v>1294</v>
      </c>
      <c r="D61" s="3"/>
      <c r="E61" s="3">
        <v>4</v>
      </c>
      <c r="F61" s="3">
        <f t="shared" si="7"/>
        <v>103</v>
      </c>
      <c r="G61" s="3" t="s">
        <v>1296</v>
      </c>
      <c r="H61" s="5" t="s">
        <v>978</v>
      </c>
    </row>
    <row r="62" spans="1:8" ht="21" x14ac:dyDescent="0.7">
      <c r="A62" s="2">
        <v>61</v>
      </c>
      <c r="B62" s="8" t="s">
        <v>267</v>
      </c>
      <c r="C62" s="3" t="s">
        <v>1294</v>
      </c>
      <c r="D62" s="3"/>
      <c r="E62" s="3">
        <v>4</v>
      </c>
      <c r="F62" s="3">
        <f t="shared" si="7"/>
        <v>99</v>
      </c>
      <c r="G62" s="3" t="s">
        <v>1297</v>
      </c>
      <c r="H62" s="5" t="s">
        <v>978</v>
      </c>
    </row>
    <row r="63" spans="1:8" ht="21" x14ac:dyDescent="0.7">
      <c r="A63" s="2">
        <v>62</v>
      </c>
      <c r="B63" s="8" t="s">
        <v>267</v>
      </c>
      <c r="C63" s="3" t="s">
        <v>1351</v>
      </c>
      <c r="D63" s="3"/>
      <c r="E63" s="3">
        <v>2</v>
      </c>
      <c r="F63" s="3">
        <f t="shared" si="7"/>
        <v>97</v>
      </c>
      <c r="G63" s="3">
        <v>5355</v>
      </c>
      <c r="H63" s="5" t="s">
        <v>1353</v>
      </c>
    </row>
    <row r="64" spans="1:8" ht="21" x14ac:dyDescent="0.7">
      <c r="A64" s="2">
        <v>63</v>
      </c>
      <c r="B64" s="8" t="s">
        <v>267</v>
      </c>
      <c r="C64" s="3" t="s">
        <v>1382</v>
      </c>
      <c r="D64" s="3"/>
      <c r="E64" s="3">
        <v>1</v>
      </c>
      <c r="F64" s="3">
        <f>F63-E64</f>
        <v>96</v>
      </c>
      <c r="G64" s="3">
        <v>5398</v>
      </c>
      <c r="H64" s="5" t="s">
        <v>1385</v>
      </c>
    </row>
    <row r="65" spans="1:9" ht="21" x14ac:dyDescent="0.7">
      <c r="A65" s="2">
        <v>64</v>
      </c>
      <c r="B65" s="8" t="s">
        <v>267</v>
      </c>
      <c r="C65" s="3" t="s">
        <v>1392</v>
      </c>
      <c r="D65" s="3"/>
      <c r="E65" s="3">
        <v>48</v>
      </c>
      <c r="F65" s="3">
        <f>F64-E65</f>
        <v>48</v>
      </c>
      <c r="G65" s="3">
        <v>5403</v>
      </c>
      <c r="H65" s="5" t="s">
        <v>386</v>
      </c>
    </row>
    <row r="66" spans="1:9" ht="21" x14ac:dyDescent="0.7">
      <c r="A66" s="2">
        <v>65</v>
      </c>
      <c r="B66" s="8" t="s">
        <v>267</v>
      </c>
      <c r="C66" s="3" t="s">
        <v>1430</v>
      </c>
      <c r="D66" s="3"/>
      <c r="E66" s="3">
        <v>1</v>
      </c>
      <c r="F66" s="3">
        <f>F65-E66</f>
        <v>47</v>
      </c>
      <c r="G66" s="3">
        <v>5440</v>
      </c>
      <c r="H66" s="5" t="s">
        <v>1431</v>
      </c>
    </row>
    <row r="67" spans="1:9" ht="21" x14ac:dyDescent="0.7">
      <c r="A67" s="2">
        <v>66</v>
      </c>
      <c r="B67" s="8" t="s">
        <v>267</v>
      </c>
      <c r="C67" s="3" t="s">
        <v>1440</v>
      </c>
      <c r="D67" s="3"/>
      <c r="E67" s="3">
        <v>46</v>
      </c>
      <c r="F67" s="3">
        <f>F66-E67</f>
        <v>1</v>
      </c>
      <c r="G67" s="3">
        <v>5444</v>
      </c>
      <c r="H67" s="5" t="s">
        <v>43</v>
      </c>
    </row>
    <row r="68" spans="1:9" ht="21" x14ac:dyDescent="0.7">
      <c r="A68" s="2">
        <v>67</v>
      </c>
      <c r="B68" s="8" t="s">
        <v>267</v>
      </c>
      <c r="C68" s="3" t="s">
        <v>1538</v>
      </c>
      <c r="D68" s="3">
        <v>60</v>
      </c>
      <c r="E68" s="3"/>
      <c r="F68" s="3">
        <f>F67+D68</f>
        <v>61</v>
      </c>
      <c r="G68" s="3"/>
      <c r="H68" s="19" t="s">
        <v>1539</v>
      </c>
    </row>
    <row r="69" spans="1:9" ht="21" x14ac:dyDescent="0.7">
      <c r="A69" s="2">
        <v>68</v>
      </c>
      <c r="B69" s="8" t="s">
        <v>267</v>
      </c>
      <c r="C69" s="3" t="s">
        <v>1542</v>
      </c>
      <c r="D69" s="3"/>
      <c r="E69" s="3">
        <v>1</v>
      </c>
      <c r="F69" s="3">
        <f t="shared" ref="F69:F74" si="8">F68-E69</f>
        <v>60</v>
      </c>
      <c r="G69" s="3" t="s">
        <v>1543</v>
      </c>
      <c r="H69" s="5" t="s">
        <v>55</v>
      </c>
    </row>
    <row r="70" spans="1:9" ht="21" x14ac:dyDescent="0.7">
      <c r="A70" s="2">
        <v>69</v>
      </c>
      <c r="B70" s="8" t="s">
        <v>267</v>
      </c>
      <c r="C70" s="3" t="s">
        <v>1551</v>
      </c>
      <c r="D70" s="3"/>
      <c r="E70" s="3">
        <v>1</v>
      </c>
      <c r="F70" s="3">
        <f t="shared" si="8"/>
        <v>59</v>
      </c>
      <c r="G70" s="3" t="s">
        <v>1553</v>
      </c>
      <c r="H70" s="5" t="s">
        <v>978</v>
      </c>
    </row>
    <row r="71" spans="1:9" ht="21" x14ac:dyDescent="0.7">
      <c r="A71" s="2">
        <v>70</v>
      </c>
      <c r="B71" s="8" t="s">
        <v>267</v>
      </c>
      <c r="C71" s="3" t="s">
        <v>1554</v>
      </c>
      <c r="D71" s="3"/>
      <c r="E71" s="3">
        <v>8</v>
      </c>
      <c r="F71" s="3">
        <f t="shared" si="8"/>
        <v>51</v>
      </c>
      <c r="G71" s="3">
        <v>5592</v>
      </c>
      <c r="H71" s="5" t="s">
        <v>1270</v>
      </c>
    </row>
    <row r="72" spans="1:9" ht="21" x14ac:dyDescent="0.7">
      <c r="A72" s="2">
        <v>71</v>
      </c>
      <c r="B72" s="8" t="s">
        <v>267</v>
      </c>
      <c r="C72" s="3" t="s">
        <v>1554</v>
      </c>
      <c r="D72" s="3"/>
      <c r="E72" s="3">
        <v>1</v>
      </c>
      <c r="F72" s="3">
        <f t="shared" si="8"/>
        <v>50</v>
      </c>
      <c r="G72" s="3">
        <v>5594</v>
      </c>
      <c r="H72" s="5" t="s">
        <v>1556</v>
      </c>
    </row>
    <row r="73" spans="1:9" ht="21" x14ac:dyDescent="0.7">
      <c r="A73" s="2">
        <v>72</v>
      </c>
      <c r="B73" s="8" t="s">
        <v>267</v>
      </c>
      <c r="C73" s="3" t="s">
        <v>1558</v>
      </c>
      <c r="D73" s="3"/>
      <c r="E73" s="3">
        <v>1</v>
      </c>
      <c r="F73" s="3">
        <f t="shared" si="8"/>
        <v>49</v>
      </c>
      <c r="G73" s="3">
        <v>5609</v>
      </c>
      <c r="H73" s="5" t="s">
        <v>996</v>
      </c>
    </row>
    <row r="74" spans="1:9" ht="21" x14ac:dyDescent="0.7">
      <c r="A74" s="2">
        <v>73</v>
      </c>
      <c r="B74" s="8" t="s">
        <v>267</v>
      </c>
      <c r="C74" s="3" t="s">
        <v>1580</v>
      </c>
      <c r="D74" s="3"/>
      <c r="E74" s="3">
        <v>13</v>
      </c>
      <c r="F74" s="3">
        <f t="shared" si="8"/>
        <v>36</v>
      </c>
      <c r="G74" s="3">
        <v>5632</v>
      </c>
      <c r="H74" s="5" t="s">
        <v>639</v>
      </c>
    </row>
    <row r="75" spans="1:9" ht="21" x14ac:dyDescent="0.7">
      <c r="A75" s="2">
        <v>74</v>
      </c>
      <c r="B75" s="8" t="s">
        <v>267</v>
      </c>
      <c r="C75" s="3" t="s">
        <v>1592</v>
      </c>
      <c r="D75" s="3"/>
      <c r="E75" s="3">
        <v>1</v>
      </c>
      <c r="F75" s="3">
        <f t="shared" ref="F75:F80" si="9">F74-E75</f>
        <v>35</v>
      </c>
      <c r="G75" s="3">
        <v>5670</v>
      </c>
      <c r="H75" s="5" t="s">
        <v>1593</v>
      </c>
    </row>
    <row r="76" spans="1:9" ht="21" x14ac:dyDescent="0.7">
      <c r="A76" s="2">
        <v>75</v>
      </c>
      <c r="B76" s="8" t="s">
        <v>267</v>
      </c>
      <c r="C76" s="3" t="s">
        <v>1600</v>
      </c>
      <c r="D76" s="3"/>
      <c r="E76" s="3">
        <v>2</v>
      </c>
      <c r="F76" s="3">
        <f t="shared" si="9"/>
        <v>33</v>
      </c>
      <c r="G76" s="3" t="s">
        <v>1601</v>
      </c>
      <c r="H76" s="5" t="s">
        <v>55</v>
      </c>
    </row>
    <row r="77" spans="1:9" ht="21" x14ac:dyDescent="0.7">
      <c r="A77" s="2">
        <v>76</v>
      </c>
      <c r="B77" s="8" t="s">
        <v>267</v>
      </c>
      <c r="C77" s="3" t="s">
        <v>1603</v>
      </c>
      <c r="D77" s="3"/>
      <c r="E77" s="3">
        <v>12</v>
      </c>
      <c r="F77" s="3">
        <f t="shared" si="9"/>
        <v>21</v>
      </c>
      <c r="G77" s="3">
        <v>5683</v>
      </c>
      <c r="H77" s="5" t="s">
        <v>43</v>
      </c>
    </row>
    <row r="78" spans="1:9" ht="21" x14ac:dyDescent="0.7">
      <c r="A78" s="2">
        <v>77</v>
      </c>
      <c r="B78" s="8" t="s">
        <v>267</v>
      </c>
      <c r="C78" s="3" t="s">
        <v>1606</v>
      </c>
      <c r="D78" s="3"/>
      <c r="E78" s="3">
        <v>2</v>
      </c>
      <c r="F78" s="3">
        <f t="shared" si="9"/>
        <v>19</v>
      </c>
      <c r="G78" s="3" t="s">
        <v>1607</v>
      </c>
      <c r="H78" s="5" t="s">
        <v>55</v>
      </c>
    </row>
    <row r="79" spans="1:9" ht="21" x14ac:dyDescent="0.7">
      <c r="A79" s="2">
        <v>78</v>
      </c>
      <c r="B79" s="8" t="s">
        <v>267</v>
      </c>
      <c r="C79" s="3" t="s">
        <v>1613</v>
      </c>
      <c r="D79" s="3"/>
      <c r="E79" s="3">
        <v>6</v>
      </c>
      <c r="F79" s="3">
        <f t="shared" si="9"/>
        <v>13</v>
      </c>
      <c r="G79" s="3">
        <v>5713</v>
      </c>
      <c r="H79" s="5" t="s">
        <v>1614</v>
      </c>
      <c r="I79" t="s">
        <v>1615</v>
      </c>
    </row>
    <row r="80" spans="1:9" ht="21" x14ac:dyDescent="0.7">
      <c r="A80" s="2">
        <v>79</v>
      </c>
      <c r="B80" s="8" t="s">
        <v>267</v>
      </c>
      <c r="C80" s="3" t="s">
        <v>1633</v>
      </c>
      <c r="D80" s="3"/>
      <c r="E80" s="3">
        <v>1</v>
      </c>
      <c r="F80" s="3">
        <f t="shared" si="9"/>
        <v>12</v>
      </c>
      <c r="G80" s="3" t="s">
        <v>1634</v>
      </c>
      <c r="H80" s="5" t="s">
        <v>55</v>
      </c>
    </row>
    <row r="81" spans="1:8" ht="21" x14ac:dyDescent="0.7">
      <c r="A81" s="2">
        <v>80</v>
      </c>
      <c r="B81" s="8" t="s">
        <v>267</v>
      </c>
      <c r="C81" s="3" t="s">
        <v>1638</v>
      </c>
      <c r="D81" s="3"/>
      <c r="E81" s="3">
        <v>3</v>
      </c>
      <c r="F81" s="3">
        <f>F80-E81</f>
        <v>9</v>
      </c>
      <c r="G81" s="3">
        <v>5727</v>
      </c>
      <c r="H81" s="5" t="s">
        <v>1123</v>
      </c>
    </row>
    <row r="82" spans="1:8" ht="21" x14ac:dyDescent="0.7">
      <c r="A82" s="2">
        <v>81</v>
      </c>
      <c r="B82" s="8" t="s">
        <v>267</v>
      </c>
      <c r="C82" s="3" t="s">
        <v>1639</v>
      </c>
      <c r="D82" s="3"/>
      <c r="E82" s="3">
        <v>4</v>
      </c>
      <c r="F82" s="3">
        <f>F81-E82</f>
        <v>5</v>
      </c>
      <c r="G82" s="3">
        <v>5729</v>
      </c>
      <c r="H82" s="5" t="s">
        <v>1142</v>
      </c>
    </row>
    <row r="83" spans="1:8" ht="21" x14ac:dyDescent="0.7">
      <c r="A83" s="2">
        <v>82</v>
      </c>
      <c r="B83" s="8" t="s">
        <v>267</v>
      </c>
      <c r="C83" s="3" t="s">
        <v>1649</v>
      </c>
      <c r="D83" s="3"/>
      <c r="E83" s="3">
        <v>3</v>
      </c>
      <c r="F83" s="3">
        <f>F82-E83</f>
        <v>2</v>
      </c>
      <c r="G83" s="3" t="s">
        <v>1650</v>
      </c>
      <c r="H83" s="5" t="s">
        <v>55</v>
      </c>
    </row>
    <row r="84" spans="1:8" ht="21" x14ac:dyDescent="0.7">
      <c r="A84" s="2">
        <v>83</v>
      </c>
      <c r="B84" s="8" t="s">
        <v>267</v>
      </c>
      <c r="C84" s="3" t="s">
        <v>1670</v>
      </c>
      <c r="D84" s="3"/>
      <c r="E84" s="3">
        <v>2</v>
      </c>
      <c r="F84" s="3">
        <v>0</v>
      </c>
      <c r="G84" s="3" t="s">
        <v>1671</v>
      </c>
      <c r="H84" s="5" t="s">
        <v>55</v>
      </c>
    </row>
    <row r="85" spans="1:8" ht="21" x14ac:dyDescent="0.7">
      <c r="A85" s="2">
        <v>84</v>
      </c>
      <c r="B85" s="8" t="s">
        <v>267</v>
      </c>
      <c r="C85" s="3" t="s">
        <v>1708</v>
      </c>
      <c r="D85" s="3">
        <v>180</v>
      </c>
      <c r="E85" s="3"/>
      <c r="F85" s="3">
        <f>D85</f>
        <v>180</v>
      </c>
      <c r="G85" s="3"/>
      <c r="H85" s="19" t="s">
        <v>1707</v>
      </c>
    </row>
    <row r="86" spans="1:8" ht="21" x14ac:dyDescent="0.7">
      <c r="A86" s="2">
        <v>85</v>
      </c>
      <c r="B86" s="8" t="s">
        <v>267</v>
      </c>
      <c r="C86" s="3" t="s">
        <v>1712</v>
      </c>
      <c r="D86" s="3"/>
      <c r="E86" s="3">
        <v>20</v>
      </c>
      <c r="F86" s="3">
        <f t="shared" ref="F86:F91" si="10">F85-E86</f>
        <v>160</v>
      </c>
      <c r="G86" s="3">
        <v>5851</v>
      </c>
      <c r="H86" s="5" t="s">
        <v>386</v>
      </c>
    </row>
    <row r="87" spans="1:8" ht="21" x14ac:dyDescent="0.7">
      <c r="A87" s="2">
        <v>86</v>
      </c>
      <c r="B87" s="8" t="s">
        <v>267</v>
      </c>
      <c r="C87" s="3" t="s">
        <v>1721</v>
      </c>
      <c r="D87" s="3"/>
      <c r="E87" s="3">
        <v>4</v>
      </c>
      <c r="F87" s="3">
        <f t="shared" si="10"/>
        <v>156</v>
      </c>
      <c r="G87" s="3">
        <v>5864</v>
      </c>
      <c r="H87" s="5" t="s">
        <v>1142</v>
      </c>
    </row>
    <row r="88" spans="1:8" ht="21" x14ac:dyDescent="0.7">
      <c r="A88" s="2">
        <v>87</v>
      </c>
      <c r="B88" s="8" t="s">
        <v>267</v>
      </c>
      <c r="C88" s="3" t="s">
        <v>1721</v>
      </c>
      <c r="D88" s="3"/>
      <c r="E88" s="3">
        <v>30</v>
      </c>
      <c r="F88" s="3">
        <f t="shared" si="10"/>
        <v>126</v>
      </c>
      <c r="G88" s="3">
        <v>5865</v>
      </c>
      <c r="H88" s="5" t="s">
        <v>43</v>
      </c>
    </row>
    <row r="89" spans="1:8" ht="21" x14ac:dyDescent="0.7">
      <c r="A89" s="2">
        <v>88</v>
      </c>
      <c r="B89" s="8" t="s">
        <v>267</v>
      </c>
      <c r="C89" s="3" t="s">
        <v>1721</v>
      </c>
      <c r="D89" s="3"/>
      <c r="E89" s="3">
        <v>15</v>
      </c>
      <c r="F89" s="3">
        <f t="shared" si="10"/>
        <v>111</v>
      </c>
      <c r="G89" s="3">
        <v>5866</v>
      </c>
      <c r="H89" s="5" t="s">
        <v>43</v>
      </c>
    </row>
    <row r="90" spans="1:8" ht="21" x14ac:dyDescent="0.7">
      <c r="A90" s="2">
        <v>89</v>
      </c>
      <c r="B90" s="8" t="s">
        <v>267</v>
      </c>
      <c r="C90" s="3" t="s">
        <v>1719</v>
      </c>
      <c r="D90" s="3"/>
      <c r="E90" s="3">
        <v>1</v>
      </c>
      <c r="F90" s="3">
        <f t="shared" si="10"/>
        <v>110</v>
      </c>
      <c r="G90" s="3">
        <v>5868</v>
      </c>
      <c r="H90" s="5" t="s">
        <v>1722</v>
      </c>
    </row>
    <row r="91" spans="1:8" ht="21" x14ac:dyDescent="0.7">
      <c r="A91" s="2">
        <v>90</v>
      </c>
      <c r="B91" s="8" t="s">
        <v>267</v>
      </c>
      <c r="C91" s="3" t="s">
        <v>1729</v>
      </c>
      <c r="D91" s="3"/>
      <c r="E91" s="3">
        <v>5</v>
      </c>
      <c r="F91" s="3">
        <f t="shared" si="10"/>
        <v>105</v>
      </c>
      <c r="G91" s="3">
        <v>5881</v>
      </c>
      <c r="H91" s="5" t="s">
        <v>1730</v>
      </c>
    </row>
    <row r="92" spans="1:8" ht="21" x14ac:dyDescent="0.7">
      <c r="A92" s="2">
        <v>91</v>
      </c>
      <c r="B92" s="8" t="s">
        <v>267</v>
      </c>
      <c r="C92" s="3" t="s">
        <v>1744</v>
      </c>
      <c r="D92" s="3"/>
      <c r="E92" s="3">
        <v>1</v>
      </c>
      <c r="F92" s="3">
        <f t="shared" ref="F92:F97" si="11">F91-E92</f>
        <v>104</v>
      </c>
      <c r="G92" s="3">
        <v>5922</v>
      </c>
      <c r="H92" s="5" t="s">
        <v>1745</v>
      </c>
    </row>
    <row r="93" spans="1:8" ht="21" x14ac:dyDescent="0.7">
      <c r="A93" s="2">
        <v>92</v>
      </c>
      <c r="B93" s="8" t="s">
        <v>267</v>
      </c>
      <c r="C93" s="3" t="s">
        <v>1746</v>
      </c>
      <c r="D93" s="3"/>
      <c r="E93" s="3">
        <v>2</v>
      </c>
      <c r="F93" s="3">
        <f t="shared" si="11"/>
        <v>102</v>
      </c>
      <c r="G93" s="3" t="s">
        <v>1747</v>
      </c>
      <c r="H93" s="5" t="s">
        <v>55</v>
      </c>
    </row>
    <row r="94" spans="1:8" ht="21" x14ac:dyDescent="0.7">
      <c r="A94" s="2">
        <v>93</v>
      </c>
      <c r="B94" s="8" t="s">
        <v>267</v>
      </c>
      <c r="C94" s="3" t="s">
        <v>1748</v>
      </c>
      <c r="D94" s="3"/>
      <c r="E94" s="3">
        <v>2</v>
      </c>
      <c r="F94" s="3">
        <f t="shared" si="11"/>
        <v>100</v>
      </c>
      <c r="G94" s="3" t="s">
        <v>1749</v>
      </c>
      <c r="H94" s="5" t="s">
        <v>978</v>
      </c>
    </row>
    <row r="95" spans="1:8" ht="21" x14ac:dyDescent="0.7">
      <c r="A95" s="2">
        <v>94</v>
      </c>
      <c r="B95" s="8" t="s">
        <v>267</v>
      </c>
      <c r="C95" s="3" t="s">
        <v>1757</v>
      </c>
      <c r="D95" s="3"/>
      <c r="E95" s="3">
        <v>1</v>
      </c>
      <c r="F95" s="3">
        <f t="shared" si="11"/>
        <v>99</v>
      </c>
      <c r="G95" s="3" t="s">
        <v>1758</v>
      </c>
      <c r="H95" s="5" t="s">
        <v>55</v>
      </c>
    </row>
    <row r="96" spans="1:8" ht="21" x14ac:dyDescent="0.7">
      <c r="A96" s="2">
        <v>95</v>
      </c>
      <c r="B96" s="8" t="s">
        <v>267</v>
      </c>
      <c r="C96" s="3" t="s">
        <v>1766</v>
      </c>
      <c r="D96" s="3"/>
      <c r="E96" s="3">
        <v>1</v>
      </c>
      <c r="F96" s="3">
        <f t="shared" si="11"/>
        <v>98</v>
      </c>
      <c r="G96" s="3" t="s">
        <v>1767</v>
      </c>
      <c r="H96" s="5" t="s">
        <v>55</v>
      </c>
    </row>
    <row r="97" spans="1:8" ht="21" x14ac:dyDescent="0.7">
      <c r="A97" s="2">
        <v>96</v>
      </c>
      <c r="B97" s="8" t="s">
        <v>267</v>
      </c>
      <c r="C97" s="3" t="s">
        <v>1777</v>
      </c>
      <c r="D97" s="3"/>
      <c r="E97" s="3">
        <v>10</v>
      </c>
      <c r="F97" s="3">
        <f t="shared" si="11"/>
        <v>88</v>
      </c>
      <c r="G97" s="3" t="s">
        <v>1778</v>
      </c>
      <c r="H97" s="5" t="s">
        <v>55</v>
      </c>
    </row>
    <row r="98" spans="1:8" ht="21" x14ac:dyDescent="0.7">
      <c r="A98" s="2">
        <v>97</v>
      </c>
      <c r="B98" s="8" t="s">
        <v>267</v>
      </c>
      <c r="C98" s="3" t="s">
        <v>1837</v>
      </c>
      <c r="D98" s="3"/>
      <c r="E98" s="3">
        <v>4</v>
      </c>
      <c r="F98" s="3">
        <f>F97-E98</f>
        <v>84</v>
      </c>
      <c r="G98" s="3">
        <v>6071</v>
      </c>
      <c r="H98" s="5" t="s">
        <v>149</v>
      </c>
    </row>
    <row r="99" spans="1:8" ht="21" x14ac:dyDescent="0.7">
      <c r="A99" s="2">
        <v>98</v>
      </c>
      <c r="B99" s="8" t="s">
        <v>267</v>
      </c>
      <c r="C99" s="3" t="s">
        <v>1849</v>
      </c>
      <c r="D99" s="3">
        <v>120</v>
      </c>
      <c r="E99" s="3"/>
      <c r="F99" s="3">
        <f>F98+D99</f>
        <v>204</v>
      </c>
      <c r="G99" s="3"/>
      <c r="H99" s="25" t="s">
        <v>1850</v>
      </c>
    </row>
    <row r="100" spans="1:8" ht="21" x14ac:dyDescent="0.7">
      <c r="A100" s="2">
        <v>99</v>
      </c>
      <c r="B100" s="8" t="s">
        <v>267</v>
      </c>
      <c r="C100" s="3" t="s">
        <v>1865</v>
      </c>
      <c r="D100" s="3"/>
      <c r="E100" s="3">
        <v>45</v>
      </c>
      <c r="F100" s="3">
        <f t="shared" ref="F100:F105" si="12">F99-E100</f>
        <v>159</v>
      </c>
      <c r="G100" s="3">
        <v>6091</v>
      </c>
      <c r="H100" s="5" t="s">
        <v>386</v>
      </c>
    </row>
    <row r="101" spans="1:8" ht="21" x14ac:dyDescent="0.7">
      <c r="A101" s="2">
        <v>100</v>
      </c>
      <c r="B101" s="8" t="s">
        <v>267</v>
      </c>
      <c r="C101" s="3" t="s">
        <v>1881</v>
      </c>
      <c r="D101" s="3"/>
      <c r="E101" s="3">
        <v>1</v>
      </c>
      <c r="F101" s="3">
        <f t="shared" si="12"/>
        <v>158</v>
      </c>
      <c r="G101" s="3" t="s">
        <v>1882</v>
      </c>
      <c r="H101" s="5" t="s">
        <v>978</v>
      </c>
    </row>
    <row r="102" spans="1:8" ht="21" x14ac:dyDescent="0.7">
      <c r="A102" s="2">
        <v>101</v>
      </c>
      <c r="B102" s="8" t="s">
        <v>267</v>
      </c>
      <c r="C102" s="3" t="s">
        <v>1913</v>
      </c>
      <c r="D102" s="3"/>
      <c r="E102" s="3">
        <v>30</v>
      </c>
      <c r="F102" s="3">
        <f t="shared" si="12"/>
        <v>128</v>
      </c>
      <c r="G102" s="3">
        <v>6201</v>
      </c>
      <c r="H102" s="5" t="s">
        <v>1914</v>
      </c>
    </row>
    <row r="103" spans="1:8" ht="21" x14ac:dyDescent="0.7">
      <c r="A103" s="2">
        <v>102</v>
      </c>
      <c r="B103" s="8" t="s">
        <v>267</v>
      </c>
      <c r="C103" s="3" t="s">
        <v>1921</v>
      </c>
      <c r="D103" s="3"/>
      <c r="E103" s="3">
        <v>3</v>
      </c>
      <c r="F103" s="3">
        <f t="shared" si="12"/>
        <v>125</v>
      </c>
      <c r="G103" s="3" t="s">
        <v>1923</v>
      </c>
      <c r="H103" s="5" t="s">
        <v>55</v>
      </c>
    </row>
    <row r="104" spans="1:8" ht="21" x14ac:dyDescent="0.7">
      <c r="A104" s="2">
        <v>103</v>
      </c>
      <c r="B104" s="8" t="s">
        <v>267</v>
      </c>
      <c r="C104" s="3" t="s">
        <v>1963</v>
      </c>
      <c r="D104" s="3"/>
      <c r="E104" s="3">
        <v>4</v>
      </c>
      <c r="F104" s="3">
        <f t="shared" si="12"/>
        <v>121</v>
      </c>
      <c r="G104" s="3">
        <v>6247</v>
      </c>
      <c r="H104" s="5" t="s">
        <v>1970</v>
      </c>
    </row>
    <row r="105" spans="1:8" ht="21" x14ac:dyDescent="0.7">
      <c r="A105" s="2">
        <v>104</v>
      </c>
      <c r="B105" s="8" t="s">
        <v>267</v>
      </c>
      <c r="C105" s="3" t="s">
        <v>1992</v>
      </c>
      <c r="D105" s="3"/>
      <c r="E105" s="3">
        <v>5</v>
      </c>
      <c r="F105" s="3">
        <f t="shared" si="12"/>
        <v>116</v>
      </c>
      <c r="G105" s="3" t="s">
        <v>1993</v>
      </c>
      <c r="H105" s="5" t="s">
        <v>978</v>
      </c>
    </row>
    <row r="106" spans="1:8" ht="21" x14ac:dyDescent="0.7">
      <c r="A106" s="2">
        <v>105</v>
      </c>
      <c r="B106" s="8" t="s">
        <v>267</v>
      </c>
      <c r="C106" s="3" t="s">
        <v>1997</v>
      </c>
      <c r="D106" s="3"/>
      <c r="E106" s="3">
        <v>3</v>
      </c>
      <c r="F106" s="3">
        <f t="shared" ref="F106:F111" si="13">F105-E106</f>
        <v>113</v>
      </c>
      <c r="G106" s="3" t="s">
        <v>1998</v>
      </c>
      <c r="H106" s="5" t="s">
        <v>978</v>
      </c>
    </row>
    <row r="107" spans="1:8" ht="21" x14ac:dyDescent="0.7">
      <c r="A107" s="2">
        <v>106</v>
      </c>
      <c r="B107" s="8" t="s">
        <v>267</v>
      </c>
      <c r="C107" s="3" t="s">
        <v>2041</v>
      </c>
      <c r="D107" s="3"/>
      <c r="E107" s="3">
        <v>1</v>
      </c>
      <c r="F107" s="3">
        <f t="shared" si="13"/>
        <v>112</v>
      </c>
      <c r="G107" s="3" t="s">
        <v>2042</v>
      </c>
      <c r="H107" s="5" t="s">
        <v>978</v>
      </c>
    </row>
    <row r="108" spans="1:8" ht="21" x14ac:dyDescent="0.7">
      <c r="A108" s="2">
        <v>107</v>
      </c>
      <c r="B108" s="8" t="s">
        <v>267</v>
      </c>
      <c r="C108" s="3" t="s">
        <v>2040</v>
      </c>
      <c r="D108" s="3"/>
      <c r="E108" s="3">
        <v>10</v>
      </c>
      <c r="F108" s="3">
        <f t="shared" si="13"/>
        <v>102</v>
      </c>
      <c r="G108" s="3">
        <v>6311</v>
      </c>
      <c r="H108" s="5" t="s">
        <v>2043</v>
      </c>
    </row>
    <row r="109" spans="1:8" ht="21" x14ac:dyDescent="0.7">
      <c r="A109" s="2">
        <v>108</v>
      </c>
      <c r="B109" s="8" t="s">
        <v>267</v>
      </c>
      <c r="C109" s="3" t="s">
        <v>2047</v>
      </c>
      <c r="D109" s="3"/>
      <c r="E109" s="3">
        <v>10</v>
      </c>
      <c r="F109" s="3">
        <f t="shared" si="13"/>
        <v>92</v>
      </c>
      <c r="G109" s="3" t="s">
        <v>2048</v>
      </c>
      <c r="H109" s="5" t="s">
        <v>55</v>
      </c>
    </row>
    <row r="110" spans="1:8" ht="21" x14ac:dyDescent="0.7">
      <c r="A110" s="2">
        <v>109</v>
      </c>
      <c r="B110" s="8" t="s">
        <v>267</v>
      </c>
      <c r="C110" s="3" t="s">
        <v>2058</v>
      </c>
      <c r="D110" s="3"/>
      <c r="E110" s="3">
        <v>6</v>
      </c>
      <c r="F110" s="3">
        <f t="shared" si="13"/>
        <v>86</v>
      </c>
      <c r="G110" s="3" t="s">
        <v>2059</v>
      </c>
      <c r="H110" s="5" t="s">
        <v>55</v>
      </c>
    </row>
    <row r="111" spans="1:8" ht="21" x14ac:dyDescent="0.7">
      <c r="A111" s="2">
        <v>110</v>
      </c>
      <c r="B111" s="8" t="s">
        <v>267</v>
      </c>
      <c r="C111" s="3" t="s">
        <v>2063</v>
      </c>
      <c r="D111" s="3"/>
      <c r="E111" s="3">
        <v>15</v>
      </c>
      <c r="F111" s="3">
        <f t="shared" si="13"/>
        <v>71</v>
      </c>
      <c r="G111" s="3">
        <v>6327</v>
      </c>
      <c r="H111" s="5" t="s">
        <v>43</v>
      </c>
    </row>
    <row r="112" spans="1:8" ht="21" x14ac:dyDescent="0.7">
      <c r="A112" s="2">
        <v>111</v>
      </c>
      <c r="B112" s="8" t="s">
        <v>267</v>
      </c>
      <c r="C112" s="3" t="s">
        <v>2080</v>
      </c>
      <c r="D112" s="3"/>
      <c r="E112" s="3">
        <v>1</v>
      </c>
      <c r="F112" s="3">
        <f>F111-E112</f>
        <v>70</v>
      </c>
      <c r="G112" s="3" t="s">
        <v>2082</v>
      </c>
      <c r="H112" s="5" t="s">
        <v>978</v>
      </c>
    </row>
    <row r="113" spans="1:8" ht="21" x14ac:dyDescent="0.7">
      <c r="A113" s="2">
        <v>112</v>
      </c>
      <c r="B113" s="8" t="s">
        <v>267</v>
      </c>
      <c r="C113" s="3" t="s">
        <v>2120</v>
      </c>
      <c r="D113" s="3"/>
      <c r="E113" s="3">
        <v>50</v>
      </c>
      <c r="F113" s="3">
        <f>F112-E113</f>
        <v>20</v>
      </c>
      <c r="G113" s="3">
        <v>6411</v>
      </c>
      <c r="H113" s="5" t="s">
        <v>2121</v>
      </c>
    </row>
    <row r="114" spans="1:8" ht="21" x14ac:dyDescent="0.7">
      <c r="A114" s="2">
        <v>113</v>
      </c>
      <c r="B114" s="8" t="s">
        <v>267</v>
      </c>
      <c r="C114" s="3" t="s">
        <v>2138</v>
      </c>
      <c r="D114" s="3"/>
      <c r="E114" s="3">
        <v>1</v>
      </c>
      <c r="F114" s="3">
        <f>F113-E114</f>
        <v>19</v>
      </c>
      <c r="G114" s="3" t="s">
        <v>2139</v>
      </c>
      <c r="H114" s="5" t="s">
        <v>55</v>
      </c>
    </row>
    <row r="115" spans="1:8" ht="21" x14ac:dyDescent="0.7">
      <c r="A115" s="2">
        <v>114</v>
      </c>
      <c r="B115" s="8" t="s">
        <v>267</v>
      </c>
      <c r="C115" s="3" t="s">
        <v>2146</v>
      </c>
      <c r="D115" s="3"/>
      <c r="E115" s="3">
        <v>2</v>
      </c>
      <c r="F115" s="3">
        <f>F114-E115</f>
        <v>17</v>
      </c>
      <c r="G115" s="3" t="s">
        <v>2147</v>
      </c>
      <c r="H115" s="5" t="s">
        <v>55</v>
      </c>
    </row>
    <row r="116" spans="1:8" ht="21" x14ac:dyDescent="0.7">
      <c r="A116" s="2">
        <v>115</v>
      </c>
      <c r="B116" s="8" t="s">
        <v>267</v>
      </c>
      <c r="C116" s="3" t="s">
        <v>2152</v>
      </c>
      <c r="D116" s="3"/>
      <c r="E116" s="3">
        <v>15</v>
      </c>
      <c r="F116" s="3">
        <f>F115-E116</f>
        <v>2</v>
      </c>
      <c r="G116" s="3">
        <v>6443</v>
      </c>
      <c r="H116" s="5" t="s">
        <v>43</v>
      </c>
    </row>
    <row r="117" spans="1:8" ht="21" x14ac:dyDescent="0.7">
      <c r="A117" s="2">
        <v>116</v>
      </c>
      <c r="B117" s="8" t="s">
        <v>267</v>
      </c>
      <c r="C117" s="3" t="s">
        <v>2160</v>
      </c>
      <c r="D117" s="3"/>
      <c r="E117" s="3">
        <v>2</v>
      </c>
      <c r="F117" s="3">
        <v>0</v>
      </c>
      <c r="G117" s="3">
        <v>6459</v>
      </c>
      <c r="H117" s="5" t="s">
        <v>2162</v>
      </c>
    </row>
    <row r="118" spans="1:8" ht="21" x14ac:dyDescent="0.7">
      <c r="A118" s="2">
        <v>117</v>
      </c>
      <c r="B118" s="8" t="s">
        <v>267</v>
      </c>
      <c r="C118" s="3" t="s">
        <v>2216</v>
      </c>
      <c r="D118" s="3">
        <v>120</v>
      </c>
      <c r="E118" s="3"/>
      <c r="F118" s="3">
        <v>120</v>
      </c>
      <c r="G118" s="3"/>
      <c r="H118" s="19" t="s">
        <v>2217</v>
      </c>
    </row>
    <row r="119" spans="1:8" ht="21" x14ac:dyDescent="0.7">
      <c r="A119" s="2">
        <v>118</v>
      </c>
      <c r="B119" s="8" t="s">
        <v>267</v>
      </c>
      <c r="C119" s="3" t="s">
        <v>2219</v>
      </c>
      <c r="D119" s="3"/>
      <c r="E119" s="3">
        <v>6</v>
      </c>
      <c r="F119" s="3">
        <f t="shared" ref="F119:F124" si="14">F118-E119</f>
        <v>114</v>
      </c>
      <c r="G119" s="3">
        <v>6586</v>
      </c>
      <c r="H119" s="5" t="s">
        <v>639</v>
      </c>
    </row>
    <row r="120" spans="1:8" ht="21" x14ac:dyDescent="0.7">
      <c r="A120" s="2">
        <v>119</v>
      </c>
      <c r="B120" s="8" t="s">
        <v>267</v>
      </c>
      <c r="C120" s="3" t="s">
        <v>2221</v>
      </c>
      <c r="D120" s="3"/>
      <c r="E120" s="3">
        <v>30</v>
      </c>
      <c r="F120" s="3">
        <f t="shared" si="14"/>
        <v>84</v>
      </c>
      <c r="G120" s="3">
        <v>6590</v>
      </c>
      <c r="H120" s="5" t="s">
        <v>43</v>
      </c>
    </row>
    <row r="121" spans="1:8" ht="21" x14ac:dyDescent="0.7">
      <c r="A121" s="2">
        <v>120</v>
      </c>
      <c r="B121" s="8" t="s">
        <v>267</v>
      </c>
      <c r="C121" s="3" t="s">
        <v>2228</v>
      </c>
      <c r="D121" s="3"/>
      <c r="E121" s="3">
        <v>20</v>
      </c>
      <c r="F121" s="3">
        <f t="shared" si="14"/>
        <v>64</v>
      </c>
      <c r="G121" s="3">
        <v>6604</v>
      </c>
      <c r="H121" s="5" t="s">
        <v>43</v>
      </c>
    </row>
    <row r="122" spans="1:8" ht="21" x14ac:dyDescent="0.7">
      <c r="A122" s="2">
        <v>121</v>
      </c>
      <c r="B122" s="8" t="s">
        <v>267</v>
      </c>
      <c r="C122" s="3" t="s">
        <v>2243</v>
      </c>
      <c r="D122" s="3"/>
      <c r="E122" s="3">
        <v>4</v>
      </c>
      <c r="F122" s="3">
        <f t="shared" si="14"/>
        <v>60</v>
      </c>
      <c r="G122" s="3">
        <v>6630</v>
      </c>
      <c r="H122" s="5" t="s">
        <v>1293</v>
      </c>
    </row>
    <row r="123" spans="1:8" ht="21" x14ac:dyDescent="0.7">
      <c r="A123" s="2">
        <v>122</v>
      </c>
      <c r="B123" s="8" t="s">
        <v>267</v>
      </c>
      <c r="C123" s="3" t="s">
        <v>2250</v>
      </c>
      <c r="D123" s="3"/>
      <c r="E123" s="3">
        <v>1</v>
      </c>
      <c r="F123" s="3">
        <f t="shared" si="14"/>
        <v>59</v>
      </c>
      <c r="G123" s="3" t="s">
        <v>2251</v>
      </c>
      <c r="H123" s="5" t="s">
        <v>55</v>
      </c>
    </row>
    <row r="124" spans="1:8" ht="21" x14ac:dyDescent="0.7">
      <c r="A124" s="2">
        <v>123</v>
      </c>
      <c r="B124" s="8" t="s">
        <v>267</v>
      </c>
      <c r="C124" s="3" t="s">
        <v>2253</v>
      </c>
      <c r="D124" s="3"/>
      <c r="E124" s="3">
        <v>2</v>
      </c>
      <c r="F124" s="3">
        <f t="shared" si="14"/>
        <v>57</v>
      </c>
      <c r="G124" s="3" t="s">
        <v>2254</v>
      </c>
      <c r="H124" s="5" t="s">
        <v>55</v>
      </c>
    </row>
    <row r="125" spans="1:8" ht="21" x14ac:dyDescent="0.7">
      <c r="A125" s="2">
        <v>124</v>
      </c>
      <c r="B125" s="8" t="s">
        <v>267</v>
      </c>
      <c r="C125" s="3" t="s">
        <v>2257</v>
      </c>
      <c r="D125" s="3"/>
      <c r="E125" s="3">
        <v>1</v>
      </c>
      <c r="F125" s="3">
        <f t="shared" ref="F125:F130" si="15">F124-E125</f>
        <v>56</v>
      </c>
      <c r="G125" s="3">
        <v>6656</v>
      </c>
      <c r="H125" s="5" t="s">
        <v>1417</v>
      </c>
    </row>
    <row r="126" spans="1:8" ht="21" x14ac:dyDescent="0.7">
      <c r="A126" s="2">
        <v>125</v>
      </c>
      <c r="B126" s="8" t="s">
        <v>267</v>
      </c>
      <c r="C126" s="3" t="s">
        <v>2266</v>
      </c>
      <c r="D126" s="3"/>
      <c r="E126" s="3">
        <v>1</v>
      </c>
      <c r="F126" s="3">
        <f t="shared" si="15"/>
        <v>55</v>
      </c>
      <c r="G126" s="3">
        <v>6674</v>
      </c>
      <c r="H126" s="5" t="s">
        <v>1443</v>
      </c>
    </row>
    <row r="127" spans="1:8" ht="21" x14ac:dyDescent="0.7">
      <c r="A127" s="2">
        <v>126</v>
      </c>
      <c r="B127" s="8" t="s">
        <v>267</v>
      </c>
      <c r="C127" s="3" t="s">
        <v>2267</v>
      </c>
      <c r="D127" s="3"/>
      <c r="E127" s="3">
        <v>4</v>
      </c>
      <c r="F127" s="3">
        <f t="shared" si="15"/>
        <v>51</v>
      </c>
      <c r="G127" s="3" t="s">
        <v>2268</v>
      </c>
      <c r="H127" s="5" t="s">
        <v>55</v>
      </c>
    </row>
    <row r="128" spans="1:8" ht="21" x14ac:dyDescent="0.7">
      <c r="A128" s="2">
        <v>127</v>
      </c>
      <c r="B128" s="8" t="s">
        <v>267</v>
      </c>
      <c r="C128" s="3" t="s">
        <v>2271</v>
      </c>
      <c r="D128" s="3"/>
      <c r="E128" s="3">
        <v>2</v>
      </c>
      <c r="F128" s="3">
        <f t="shared" si="15"/>
        <v>49</v>
      </c>
      <c r="G128" s="3" t="s">
        <v>2272</v>
      </c>
      <c r="H128" s="5" t="s">
        <v>2273</v>
      </c>
    </row>
    <row r="129" spans="1:8" ht="21" x14ac:dyDescent="0.7">
      <c r="A129" s="2">
        <v>128</v>
      </c>
      <c r="B129" s="8" t="s">
        <v>267</v>
      </c>
      <c r="C129" s="3" t="s">
        <v>2274</v>
      </c>
      <c r="D129" s="3"/>
      <c r="E129" s="3">
        <v>2</v>
      </c>
      <c r="F129" s="3">
        <f t="shared" si="15"/>
        <v>47</v>
      </c>
      <c r="G129" s="3" t="s">
        <v>2275</v>
      </c>
      <c r="H129" s="5" t="s">
        <v>55</v>
      </c>
    </row>
    <row r="130" spans="1:8" ht="21" x14ac:dyDescent="0.7">
      <c r="A130" s="2">
        <v>129</v>
      </c>
      <c r="B130" s="8" t="s">
        <v>267</v>
      </c>
      <c r="C130" s="3" t="s">
        <v>2284</v>
      </c>
      <c r="D130" s="3"/>
      <c r="E130" s="3">
        <v>2</v>
      </c>
      <c r="F130" s="3">
        <f t="shared" si="15"/>
        <v>45</v>
      </c>
      <c r="G130" s="3">
        <v>6699</v>
      </c>
      <c r="H130" s="5" t="s">
        <v>1443</v>
      </c>
    </row>
    <row r="131" spans="1:8" ht="21" x14ac:dyDescent="0.7">
      <c r="A131" s="2">
        <v>130</v>
      </c>
      <c r="B131" s="8" t="s">
        <v>267</v>
      </c>
      <c r="C131" s="3" t="s">
        <v>2287</v>
      </c>
      <c r="D131" s="3"/>
      <c r="E131" s="3">
        <v>1</v>
      </c>
      <c r="F131" s="3">
        <f t="shared" ref="F131:F136" si="16">F130-E131</f>
        <v>44</v>
      </c>
      <c r="G131" s="3">
        <v>6702</v>
      </c>
      <c r="H131" s="5" t="s">
        <v>2288</v>
      </c>
    </row>
    <row r="132" spans="1:8" ht="21" x14ac:dyDescent="0.7">
      <c r="A132" s="2">
        <v>131</v>
      </c>
      <c r="B132" s="8" t="s">
        <v>267</v>
      </c>
      <c r="C132" s="3" t="s">
        <v>2289</v>
      </c>
      <c r="D132" s="3"/>
      <c r="E132" s="3">
        <v>1</v>
      </c>
      <c r="F132" s="3">
        <f t="shared" si="16"/>
        <v>43</v>
      </c>
      <c r="G132" s="3" t="s">
        <v>2290</v>
      </c>
      <c r="H132" s="5" t="s">
        <v>55</v>
      </c>
    </row>
    <row r="133" spans="1:8" ht="21" x14ac:dyDescent="0.7">
      <c r="A133" s="2">
        <v>132</v>
      </c>
      <c r="B133" s="8" t="s">
        <v>267</v>
      </c>
      <c r="C133" s="3" t="s">
        <v>2291</v>
      </c>
      <c r="D133" s="3"/>
      <c r="E133" s="3">
        <v>4</v>
      </c>
      <c r="F133" s="3">
        <f t="shared" si="16"/>
        <v>39</v>
      </c>
      <c r="G133" s="3" t="s">
        <v>2292</v>
      </c>
      <c r="H133" s="5" t="s">
        <v>55</v>
      </c>
    </row>
    <row r="134" spans="1:8" ht="21" x14ac:dyDescent="0.7">
      <c r="A134" s="2">
        <v>133</v>
      </c>
      <c r="B134" s="8" t="s">
        <v>267</v>
      </c>
      <c r="C134" s="3" t="s">
        <v>2291</v>
      </c>
      <c r="D134" s="3"/>
      <c r="E134" s="3">
        <v>1</v>
      </c>
      <c r="F134" s="3">
        <f t="shared" si="16"/>
        <v>38</v>
      </c>
      <c r="G134" s="3">
        <v>6705</v>
      </c>
      <c r="H134" s="5" t="s">
        <v>2293</v>
      </c>
    </row>
    <row r="135" spans="1:8" ht="21" x14ac:dyDescent="0.7">
      <c r="A135" s="2">
        <v>134</v>
      </c>
      <c r="B135" s="8" t="s">
        <v>267</v>
      </c>
      <c r="C135" s="3" t="s">
        <v>2307</v>
      </c>
      <c r="D135" s="3"/>
      <c r="E135" s="3">
        <v>4</v>
      </c>
      <c r="F135" s="3">
        <f t="shared" si="16"/>
        <v>34</v>
      </c>
      <c r="G135" s="3">
        <v>6718</v>
      </c>
      <c r="H135" s="5" t="s">
        <v>2308</v>
      </c>
    </row>
    <row r="136" spans="1:8" ht="21" x14ac:dyDescent="0.7">
      <c r="A136" s="2">
        <v>135</v>
      </c>
      <c r="B136" s="8" t="s">
        <v>267</v>
      </c>
      <c r="C136" s="3" t="s">
        <v>2307</v>
      </c>
      <c r="D136" s="3"/>
      <c r="E136" s="3">
        <v>10</v>
      </c>
      <c r="F136" s="3">
        <f t="shared" si="16"/>
        <v>24</v>
      </c>
      <c r="G136" s="3">
        <v>6719</v>
      </c>
      <c r="H136" s="5" t="s">
        <v>2309</v>
      </c>
    </row>
    <row r="137" spans="1:8" ht="21" x14ac:dyDescent="0.7">
      <c r="A137" s="2">
        <v>136</v>
      </c>
      <c r="B137" s="8" t="s">
        <v>267</v>
      </c>
      <c r="C137" s="3" t="s">
        <v>2315</v>
      </c>
      <c r="D137" s="3"/>
      <c r="E137" s="3">
        <v>1</v>
      </c>
      <c r="F137" s="3">
        <f t="shared" ref="F137:F142" si="17">F136-E137</f>
        <v>23</v>
      </c>
      <c r="G137" s="3">
        <v>6746</v>
      </c>
      <c r="H137" s="5" t="s">
        <v>1417</v>
      </c>
    </row>
    <row r="138" spans="1:8" ht="21" x14ac:dyDescent="0.7">
      <c r="A138" s="2">
        <v>137</v>
      </c>
      <c r="B138" s="8" t="s">
        <v>267</v>
      </c>
      <c r="C138" s="3" t="s">
        <v>2318</v>
      </c>
      <c r="D138" s="3"/>
      <c r="E138" s="3">
        <v>1</v>
      </c>
      <c r="F138" s="3">
        <f t="shared" si="17"/>
        <v>22</v>
      </c>
      <c r="G138" s="3" t="s">
        <v>2319</v>
      </c>
      <c r="H138" s="5" t="s">
        <v>55</v>
      </c>
    </row>
    <row r="139" spans="1:8" ht="21" x14ac:dyDescent="0.7">
      <c r="A139" s="2">
        <v>138</v>
      </c>
      <c r="B139" s="8" t="s">
        <v>267</v>
      </c>
      <c r="C139" s="3" t="s">
        <v>2320</v>
      </c>
      <c r="D139" s="3"/>
      <c r="E139" s="3">
        <v>5</v>
      </c>
      <c r="F139" s="3">
        <f t="shared" si="17"/>
        <v>17</v>
      </c>
      <c r="G139" s="3">
        <v>6754</v>
      </c>
      <c r="H139" s="5" t="s">
        <v>2308</v>
      </c>
    </row>
    <row r="140" spans="1:8" ht="21" x14ac:dyDescent="0.7">
      <c r="A140" s="2">
        <v>139</v>
      </c>
      <c r="B140" s="8" t="s">
        <v>267</v>
      </c>
      <c r="C140" s="3" t="s">
        <v>2331</v>
      </c>
      <c r="D140" s="3"/>
      <c r="E140" s="3">
        <v>1</v>
      </c>
      <c r="F140" s="3">
        <f t="shared" si="17"/>
        <v>16</v>
      </c>
      <c r="G140" s="3" t="s">
        <v>2333</v>
      </c>
      <c r="H140" s="5" t="s">
        <v>55</v>
      </c>
    </row>
    <row r="141" spans="1:8" ht="21" x14ac:dyDescent="0.7">
      <c r="A141" s="2">
        <v>140</v>
      </c>
      <c r="B141" s="8" t="s">
        <v>267</v>
      </c>
      <c r="C141" s="3" t="s">
        <v>2363</v>
      </c>
      <c r="D141" s="3"/>
      <c r="E141" s="3">
        <v>1</v>
      </c>
      <c r="F141" s="3">
        <f t="shared" si="17"/>
        <v>15</v>
      </c>
      <c r="G141" s="3" t="s">
        <v>2364</v>
      </c>
      <c r="H141" s="5" t="s">
        <v>55</v>
      </c>
    </row>
    <row r="142" spans="1:8" ht="21" x14ac:dyDescent="0.7">
      <c r="A142" s="2">
        <v>141</v>
      </c>
      <c r="B142" s="8" t="s">
        <v>267</v>
      </c>
      <c r="C142" s="3" t="s">
        <v>2367</v>
      </c>
      <c r="D142" s="3"/>
      <c r="E142" s="3">
        <v>15</v>
      </c>
      <c r="F142" s="3">
        <f t="shared" si="17"/>
        <v>0</v>
      </c>
      <c r="G142" s="3" t="s">
        <v>2368</v>
      </c>
      <c r="H142" s="5" t="s">
        <v>55</v>
      </c>
    </row>
    <row r="143" spans="1:8" ht="21" customHeight="1" x14ac:dyDescent="0.3">
      <c r="A143" s="2">
        <v>142</v>
      </c>
      <c r="B143" s="8" t="s">
        <v>267</v>
      </c>
      <c r="C143" s="3" t="s">
        <v>2376</v>
      </c>
      <c r="D143" s="3">
        <v>120</v>
      </c>
      <c r="E143" s="3"/>
      <c r="F143" s="3">
        <v>120</v>
      </c>
      <c r="G143" s="44" t="s">
        <v>2375</v>
      </c>
      <c r="H143" s="45"/>
    </row>
    <row r="144" spans="1:8" ht="21" x14ac:dyDescent="0.7">
      <c r="A144" s="2">
        <v>143</v>
      </c>
      <c r="B144" s="8" t="s">
        <v>267</v>
      </c>
      <c r="C144" s="3" t="s">
        <v>2376</v>
      </c>
      <c r="D144" s="3"/>
      <c r="E144" s="3">
        <v>20</v>
      </c>
      <c r="F144" s="3">
        <f t="shared" ref="F144:F149" si="18">F143-E144</f>
        <v>100</v>
      </c>
      <c r="G144" s="3" t="s">
        <v>2381</v>
      </c>
      <c r="H144" s="5" t="s">
        <v>55</v>
      </c>
    </row>
    <row r="145" spans="1:8" ht="21" x14ac:dyDescent="0.7">
      <c r="A145" s="2">
        <v>144</v>
      </c>
      <c r="B145" s="8" t="s">
        <v>267</v>
      </c>
      <c r="C145" s="3" t="s">
        <v>2385</v>
      </c>
      <c r="D145" s="3"/>
      <c r="E145" s="3">
        <v>50</v>
      </c>
      <c r="F145" s="3">
        <f t="shared" si="18"/>
        <v>50</v>
      </c>
      <c r="G145" s="3">
        <v>6859</v>
      </c>
      <c r="H145" s="5" t="s">
        <v>43</v>
      </c>
    </row>
    <row r="146" spans="1:8" ht="21" x14ac:dyDescent="0.7">
      <c r="A146" s="2">
        <v>145</v>
      </c>
      <c r="B146" s="8" t="s">
        <v>267</v>
      </c>
      <c r="C146" s="3" t="s">
        <v>2385</v>
      </c>
      <c r="D146" s="3"/>
      <c r="E146" s="3">
        <v>1</v>
      </c>
      <c r="F146" s="3">
        <f t="shared" si="18"/>
        <v>49</v>
      </c>
      <c r="G146" s="3">
        <v>6868</v>
      </c>
      <c r="H146" s="5" t="s">
        <v>169</v>
      </c>
    </row>
    <row r="147" spans="1:8" ht="21" x14ac:dyDescent="0.7">
      <c r="A147" s="2">
        <v>146</v>
      </c>
      <c r="B147" s="8" t="s">
        <v>267</v>
      </c>
      <c r="C147" s="3" t="s">
        <v>2419</v>
      </c>
      <c r="D147" s="3"/>
      <c r="E147" s="3">
        <v>1</v>
      </c>
      <c r="F147" s="3">
        <f t="shared" si="18"/>
        <v>48</v>
      </c>
      <c r="G147" s="3" t="s">
        <v>2420</v>
      </c>
      <c r="H147" s="5" t="s">
        <v>55</v>
      </c>
    </row>
    <row r="148" spans="1:8" ht="21" x14ac:dyDescent="0.7">
      <c r="A148" s="2">
        <v>147</v>
      </c>
      <c r="B148" s="8" t="s">
        <v>267</v>
      </c>
      <c r="C148" s="3" t="s">
        <v>2439</v>
      </c>
      <c r="D148" s="3"/>
      <c r="E148" s="3">
        <v>1</v>
      </c>
      <c r="F148" s="3">
        <f t="shared" si="18"/>
        <v>47</v>
      </c>
      <c r="G148" s="3" t="s">
        <v>2440</v>
      </c>
      <c r="H148" s="5" t="s">
        <v>55</v>
      </c>
    </row>
    <row r="149" spans="1:8" ht="21" x14ac:dyDescent="0.7">
      <c r="A149" s="2">
        <v>148</v>
      </c>
      <c r="B149" s="8" t="s">
        <v>267</v>
      </c>
      <c r="C149" s="3" t="s">
        <v>2444</v>
      </c>
      <c r="D149" s="3"/>
      <c r="E149" s="3">
        <v>10</v>
      </c>
      <c r="F149" s="3">
        <f t="shared" si="18"/>
        <v>37</v>
      </c>
      <c r="G149" s="3">
        <v>6957</v>
      </c>
      <c r="H149" s="5" t="s">
        <v>2309</v>
      </c>
    </row>
    <row r="150" spans="1:8" ht="21" x14ac:dyDescent="0.7">
      <c r="A150" s="2">
        <v>149</v>
      </c>
      <c r="B150" s="8" t="s">
        <v>267</v>
      </c>
      <c r="C150" s="3" t="s">
        <v>2466</v>
      </c>
      <c r="D150" s="3"/>
      <c r="E150" s="3">
        <v>3</v>
      </c>
      <c r="F150" s="3">
        <f>F149-E150</f>
        <v>34</v>
      </c>
      <c r="G150" s="3" t="s">
        <v>2467</v>
      </c>
      <c r="H150" s="5" t="s">
        <v>55</v>
      </c>
    </row>
    <row r="151" spans="1:8" ht="21" x14ac:dyDescent="0.7">
      <c r="A151" s="2">
        <v>150</v>
      </c>
      <c r="B151" s="8" t="s">
        <v>267</v>
      </c>
      <c r="C151" s="3" t="s">
        <v>2470</v>
      </c>
      <c r="D151" s="3"/>
      <c r="E151" s="3">
        <v>30</v>
      </c>
      <c r="F151" s="3">
        <f>F150-E151</f>
        <v>4</v>
      </c>
      <c r="G151" s="3">
        <v>6991</v>
      </c>
      <c r="H151" s="5" t="s">
        <v>43</v>
      </c>
    </row>
    <row r="152" spans="1:8" ht="21" x14ac:dyDescent="0.7">
      <c r="A152" s="2">
        <v>151</v>
      </c>
      <c r="B152" s="8" t="s">
        <v>267</v>
      </c>
      <c r="C152" s="3" t="s">
        <v>2494</v>
      </c>
      <c r="D152" s="3"/>
      <c r="E152" s="3">
        <v>4</v>
      </c>
      <c r="F152" s="3">
        <f>F151-E152</f>
        <v>0</v>
      </c>
      <c r="G152" s="3">
        <v>7031</v>
      </c>
      <c r="H152" s="5" t="s">
        <v>1673</v>
      </c>
    </row>
    <row r="153" spans="1:8" ht="21" x14ac:dyDescent="0.7">
      <c r="A153" s="2">
        <v>152</v>
      </c>
      <c r="B153" s="8" t="s">
        <v>267</v>
      </c>
      <c r="C153" s="3" t="s">
        <v>2529</v>
      </c>
      <c r="D153" s="3">
        <v>120</v>
      </c>
      <c r="E153" s="3"/>
      <c r="F153" s="3">
        <v>120</v>
      </c>
      <c r="G153" s="3"/>
      <c r="H153" s="19" t="s">
        <v>2530</v>
      </c>
    </row>
    <row r="154" spans="1:8" ht="21" x14ac:dyDescent="0.7">
      <c r="A154" s="2">
        <v>153</v>
      </c>
      <c r="B154" s="8" t="s">
        <v>267</v>
      </c>
      <c r="C154" s="3" t="s">
        <v>2535</v>
      </c>
      <c r="D154" s="3"/>
      <c r="E154" s="3">
        <v>2</v>
      </c>
      <c r="F154" s="3">
        <f>F153-E154</f>
        <v>118</v>
      </c>
      <c r="G154" s="3">
        <v>7121</v>
      </c>
      <c r="H154" s="5" t="s">
        <v>2536</v>
      </c>
    </row>
    <row r="155" spans="1:8" ht="21" x14ac:dyDescent="0.7">
      <c r="A155" s="2">
        <v>154</v>
      </c>
      <c r="B155" s="8" t="s">
        <v>267</v>
      </c>
      <c r="C155" s="3" t="s">
        <v>2539</v>
      </c>
      <c r="D155" s="3"/>
      <c r="E155" s="3">
        <v>11</v>
      </c>
      <c r="F155" s="3">
        <f>F154-E155</f>
        <v>107</v>
      </c>
      <c r="G155" s="3">
        <v>7138</v>
      </c>
      <c r="H155" s="5" t="s">
        <v>1673</v>
      </c>
    </row>
    <row r="156" spans="1:8" ht="21" x14ac:dyDescent="0.7">
      <c r="A156" s="2">
        <v>155</v>
      </c>
      <c r="B156" s="8" t="s">
        <v>267</v>
      </c>
      <c r="C156" s="3" t="s">
        <v>2546</v>
      </c>
      <c r="D156" s="3"/>
      <c r="E156" s="3">
        <v>14</v>
      </c>
      <c r="F156" s="3">
        <f>F155-E156</f>
        <v>93</v>
      </c>
      <c r="G156" s="3">
        <v>7148</v>
      </c>
      <c r="H156" s="5" t="s">
        <v>2547</v>
      </c>
    </row>
    <row r="157" spans="1:8" ht="21" x14ac:dyDescent="0.7">
      <c r="A157" s="2">
        <v>156</v>
      </c>
      <c r="B157" s="8" t="s">
        <v>267</v>
      </c>
      <c r="C157" s="3" t="s">
        <v>2552</v>
      </c>
      <c r="D157" s="3"/>
      <c r="E157" s="3">
        <v>30</v>
      </c>
      <c r="F157" s="3">
        <f>F156-E157</f>
        <v>63</v>
      </c>
      <c r="G157" s="3">
        <v>7159</v>
      </c>
      <c r="H157" s="5" t="s">
        <v>43</v>
      </c>
    </row>
    <row r="158" spans="1:8" ht="21" x14ac:dyDescent="0.7">
      <c r="A158" s="2">
        <v>157</v>
      </c>
      <c r="B158" s="8" t="s">
        <v>267</v>
      </c>
      <c r="C158" s="3" t="s">
        <v>2552</v>
      </c>
      <c r="D158" s="3"/>
      <c r="E158" s="3">
        <v>10</v>
      </c>
      <c r="F158" s="3">
        <f>F157-E158</f>
        <v>53</v>
      </c>
      <c r="G158" s="3">
        <v>7163</v>
      </c>
      <c r="H158" s="5" t="s">
        <v>2309</v>
      </c>
    </row>
    <row r="159" spans="1:8" ht="21" x14ac:dyDescent="0.7">
      <c r="A159" s="2">
        <v>158</v>
      </c>
      <c r="B159" s="8" t="s">
        <v>267</v>
      </c>
      <c r="C159" s="3" t="s">
        <v>2556</v>
      </c>
      <c r="D159" s="3">
        <v>24</v>
      </c>
      <c r="E159" s="3"/>
      <c r="F159" s="3">
        <f>F158+D159</f>
        <v>77</v>
      </c>
      <c r="G159" s="3"/>
      <c r="H159" s="19" t="s">
        <v>2555</v>
      </c>
    </row>
    <row r="160" spans="1:8" ht="21" x14ac:dyDescent="0.7">
      <c r="A160" s="2">
        <v>159</v>
      </c>
      <c r="B160" s="8" t="s">
        <v>267</v>
      </c>
      <c r="C160" s="3" t="s">
        <v>2562</v>
      </c>
      <c r="D160" s="3"/>
      <c r="E160" s="3">
        <v>2</v>
      </c>
      <c r="F160" s="3">
        <f t="shared" ref="F160:F165" si="19">F159-E160</f>
        <v>75</v>
      </c>
      <c r="G160" s="3" t="s">
        <v>2563</v>
      </c>
      <c r="H160" s="5" t="s">
        <v>55</v>
      </c>
    </row>
    <row r="161" spans="1:8" ht="21" x14ac:dyDescent="0.7">
      <c r="A161" s="2">
        <v>160</v>
      </c>
      <c r="B161" s="8" t="s">
        <v>267</v>
      </c>
      <c r="C161" s="3" t="s">
        <v>2577</v>
      </c>
      <c r="D161" s="3"/>
      <c r="E161" s="3">
        <v>1</v>
      </c>
      <c r="F161" s="3">
        <f t="shared" si="19"/>
        <v>74</v>
      </c>
      <c r="G161" s="3" t="s">
        <v>2579</v>
      </c>
      <c r="H161" s="5" t="s">
        <v>55</v>
      </c>
    </row>
    <row r="162" spans="1:8" ht="21" x14ac:dyDescent="0.7">
      <c r="A162" s="2">
        <v>161</v>
      </c>
      <c r="B162" s="8" t="s">
        <v>267</v>
      </c>
      <c r="C162" s="3" t="s">
        <v>2582</v>
      </c>
      <c r="D162" s="3"/>
      <c r="E162" s="3">
        <v>2</v>
      </c>
      <c r="F162" s="3">
        <f t="shared" si="19"/>
        <v>72</v>
      </c>
      <c r="G162" s="3" t="s">
        <v>2583</v>
      </c>
      <c r="H162" s="5" t="s">
        <v>55</v>
      </c>
    </row>
    <row r="163" spans="1:8" ht="21" x14ac:dyDescent="0.7">
      <c r="A163" s="2">
        <v>162</v>
      </c>
      <c r="B163" s="8" t="s">
        <v>267</v>
      </c>
      <c r="C163" s="3" t="s">
        <v>2597</v>
      </c>
      <c r="D163" s="3"/>
      <c r="E163" s="3">
        <v>20</v>
      </c>
      <c r="F163" s="3">
        <f t="shared" si="19"/>
        <v>52</v>
      </c>
      <c r="G163" s="3">
        <v>7225</v>
      </c>
      <c r="H163" s="5" t="s">
        <v>43</v>
      </c>
    </row>
    <row r="164" spans="1:8" ht="21" x14ac:dyDescent="0.7">
      <c r="A164" s="2">
        <v>163</v>
      </c>
      <c r="B164" s="8" t="s">
        <v>267</v>
      </c>
      <c r="C164" s="3" t="s">
        <v>2611</v>
      </c>
      <c r="D164" s="3"/>
      <c r="E164" s="3">
        <v>1</v>
      </c>
      <c r="F164" s="3">
        <f t="shared" si="19"/>
        <v>51</v>
      </c>
      <c r="G164" s="3" t="s">
        <v>774</v>
      </c>
      <c r="H164" s="5" t="s">
        <v>639</v>
      </c>
    </row>
    <row r="165" spans="1:8" ht="21" x14ac:dyDescent="0.7">
      <c r="A165" s="2">
        <v>164</v>
      </c>
      <c r="B165" s="8" t="s">
        <v>267</v>
      </c>
      <c r="C165" s="3" t="s">
        <v>2614</v>
      </c>
      <c r="D165" s="3"/>
      <c r="E165" s="3">
        <v>2</v>
      </c>
      <c r="F165" s="3">
        <f t="shared" si="19"/>
        <v>49</v>
      </c>
      <c r="G165" s="3">
        <v>7256</v>
      </c>
      <c r="H165" s="5" t="s">
        <v>834</v>
      </c>
    </row>
    <row r="166" spans="1:8" ht="21" x14ac:dyDescent="0.7">
      <c r="A166" s="2">
        <v>165</v>
      </c>
      <c r="B166" s="8" t="s">
        <v>267</v>
      </c>
      <c r="C166" s="3" t="s">
        <v>2637</v>
      </c>
      <c r="D166" s="3"/>
      <c r="E166" s="3">
        <v>1</v>
      </c>
      <c r="F166" s="3">
        <f>F165-E166</f>
        <v>48</v>
      </c>
      <c r="G166" s="3" t="s">
        <v>2638</v>
      </c>
      <c r="H166" s="5" t="s">
        <v>55</v>
      </c>
    </row>
    <row r="167" spans="1:8" ht="21" x14ac:dyDescent="0.7">
      <c r="A167" s="2">
        <v>166</v>
      </c>
      <c r="B167" s="8" t="s">
        <v>267</v>
      </c>
      <c r="C167" s="3"/>
      <c r="D167" s="3"/>
      <c r="E167" s="3">
        <v>15</v>
      </c>
      <c r="F167" s="3">
        <f>F166-E167</f>
        <v>33</v>
      </c>
      <c r="G167" s="3"/>
      <c r="H167" s="5"/>
    </row>
    <row r="168" spans="1:8" ht="21" x14ac:dyDescent="0.7">
      <c r="A168" s="2">
        <v>167</v>
      </c>
      <c r="B168" s="8" t="s">
        <v>267</v>
      </c>
      <c r="C168" s="3"/>
      <c r="D168" s="3"/>
      <c r="E168" s="3"/>
      <c r="F168" s="3"/>
      <c r="G168" s="3"/>
      <c r="H168" s="5"/>
    </row>
    <row r="169" spans="1:8" ht="21" x14ac:dyDescent="0.7">
      <c r="A169" s="2">
        <v>168</v>
      </c>
      <c r="B169" s="8" t="s">
        <v>267</v>
      </c>
      <c r="C169" s="3"/>
      <c r="D169" s="3"/>
      <c r="E169" s="3"/>
      <c r="F169" s="3"/>
      <c r="G169" s="3"/>
      <c r="H169" s="5"/>
    </row>
    <row r="170" spans="1:8" ht="21" x14ac:dyDescent="0.7">
      <c r="A170" s="2">
        <v>169</v>
      </c>
      <c r="B170" s="8" t="s">
        <v>267</v>
      </c>
      <c r="C170" s="3"/>
      <c r="D170" s="3"/>
      <c r="E170" s="3"/>
      <c r="F170" s="3"/>
      <c r="G170" s="3"/>
      <c r="H170" s="5"/>
    </row>
  </sheetData>
  <mergeCells count="2">
    <mergeCell ref="G39:H39"/>
    <mergeCell ref="G143:H143"/>
  </mergeCells>
  <phoneticPr fontId="7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1111 (1Kg)</vt:lpstr>
      <vt:lpstr>1111 (2Kg)</vt:lpstr>
      <vt:lpstr>1111 (400 Gr)</vt:lpstr>
      <vt:lpstr>1111 (5 kg)</vt:lpstr>
      <vt:lpstr>1121 (1Kg)</vt:lpstr>
      <vt:lpstr>1131 (1Kg)</vt:lpstr>
      <vt:lpstr>1141 (1.5 Kg)</vt:lpstr>
      <vt:lpstr>1161 (1 kg)</vt:lpstr>
      <vt:lpstr>1211 (500 Gr)</vt:lpstr>
      <vt:lpstr>1221 (125 Gr)</vt:lpstr>
      <vt:lpstr>1251 (750 Gr)</vt:lpstr>
      <vt:lpstr>1291 (140 Gr)</vt:lpstr>
      <vt:lpstr>1311 (2 kg)</vt:lpstr>
      <vt:lpstr>1321 (1kg)</vt:lpstr>
      <vt:lpstr>1321 (3 kg)</vt:lpstr>
      <vt:lpstr>1341 (500 gr)</vt:lpstr>
      <vt:lpstr>1341 N (750 Gr)</vt:lpstr>
      <vt:lpstr>1341 (5 Kg)</vt:lpstr>
      <vt:lpstr>1391 (1 Kg)</vt:lpstr>
      <vt:lpstr>1391 (3 Kg)</vt:lpstr>
      <vt:lpstr>1391 (10 lit)</vt:lpstr>
      <vt:lpstr>1391 T (1 Kg)</vt:lpstr>
      <vt:lpstr>1523 (10 Lit)</vt:lpstr>
      <vt:lpstr>1392 (1 Kg)</vt:lpstr>
      <vt:lpstr>1511 (1 Kg)</vt:lpstr>
      <vt:lpstr>1521 (10 Lit)</vt:lpstr>
      <vt:lpstr>1591 (1 Kg)</vt:lpstr>
      <vt:lpstr>1591 (3 Kg)</vt:lpstr>
      <vt:lpstr>1593 (3 kg)</vt:lpstr>
      <vt:lpstr>1593 (1 KG)</vt:lpstr>
      <vt:lpstr>1811 (2 Kg)</vt:lpstr>
      <vt:lpstr>1811 (20 Kg)</vt:lpstr>
      <vt:lpstr>1812 (2 Kg)</vt:lpstr>
      <vt:lpstr>1813 (2 Kg)</vt:lpstr>
      <vt:lpstr>1813 (20 kg)</vt:lpstr>
      <vt:lpstr>1831 (1 Kg)</vt:lpstr>
      <vt:lpstr>1212 (450 gr)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مریم مستعلی</dc:creator>
  <cp:lastModifiedBy>Maryam Mastali</cp:lastModifiedBy>
  <dcterms:created xsi:type="dcterms:W3CDTF">2015-01-26T08:20:24Z</dcterms:created>
  <dcterms:modified xsi:type="dcterms:W3CDTF">2025-12-18T06:11:45Z</dcterms:modified>
</cp:coreProperties>
</file>